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b17627f83944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874999c9961454e"/>
    <x:sheet xmlns:r="http://schemas.openxmlformats.org/officeDocument/2006/relationships" name="Purveyor Registry" sheetId="2" r:id="Rbd29b3836e4f4210"/>
    <x:sheet xmlns:r="http://schemas.openxmlformats.org/officeDocument/2006/relationships" name="Coverage Sources" sheetId="3" r:id="R536ea06e005b43e0"/>
    <x:sheet xmlns:r="http://schemas.openxmlformats.org/officeDocument/2006/relationships" name="Geographic Coverage" sheetId="4" r:id="R2e04be8d67d44085"/>
    <x:sheet xmlns:r="http://schemas.openxmlformats.org/officeDocument/2006/relationships" name="State List" sheetId="5" r:id="R5a0539213519415f"/>
    <x:sheet xmlns:r="http://schemas.openxmlformats.org/officeDocument/2006/relationships" name="Vendor Master v2" sheetId="6" r:id="Recc6a6f976564aec"/>
    <x:sheet xmlns:r="http://schemas.openxmlformats.org/officeDocument/2006/relationships" name="Seed Export" sheetId="7" r:id="R4f64220a1e8543c8"/>
    <x:sheet xmlns:r="http://schemas.openxmlformats.org/officeDocument/2006/relationships" name="Change Log v2" sheetId="8" r:id="Rd76b6a11108b4e9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5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6324F"/>
      <x:name val="Carlito"/>
    </x:font>
    <x:font>
      <x:b/>
      <x:sz val="11"/>
      <x:color rgb="FFFFFFFF"/>
      <x:name val="Carlito"/>
    </x:font>
    <x:font>
      <x:b/>
      <x:sz val="11"/>
      <x:color rgb="FF16324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DCE8F2"/>
      </x:patternFill>
    </x:fill>
    <x:fill>
      <x:patternFill patternType="solid">
        <x:fgColor rgb="FF1F5A7A"/>
      </x:patternFill>
    </x:fill>
    <x:fill>
      <x:patternFill patternType="solid">
        <x:fgColor rgb="FF1F5A7A"/>
      </x:patternFill>
    </x:fill>
    <x:fill>
      <x:patternFill patternType="solid">
        <x:fgColor rgb="FF1F5A7A"/>
      </x:patternFill>
    </x:fill>
    <x:fill>
      <x:patternFill patternType="solid">
        <x:fgColor rgb="FF16324F"/>
      </x:patternFill>
    </x:fill>
    <x:fill>
      <x:patternFill patternType="solid">
        <x:fgColor rgb="FFDCE8F2"/>
      </x:patternFill>
    </x:fill>
  </x:fills>
  <x:borders count="14">
    <x:border/>
    <x:border/>
    <x:border>
      <x:left style="thin">
        <x:color rgb="FFC7D3DD"/>
      </x:left>
      <x:top style="thin">
        <x:color rgb="FFC7D3DD"/>
      </x:top>
    </x:border>
    <x:border>
      <x:right style="thin">
        <x:color rgb="FFC7D3DD"/>
      </x:right>
      <x:top style="thin">
        <x:color rgb="FFC7D3DD"/>
      </x:top>
    </x:border>
    <x:border>
      <x:left style="thin">
        <x:color rgb="FFC7D3DD"/>
      </x:left>
    </x:border>
    <x:border>
      <x:right style="thin">
        <x:color rgb="FFC7D3DD"/>
      </x:right>
    </x:border>
    <x:border>
      <x:left style="thin">
        <x:color rgb="FFC7D3DD"/>
      </x:left>
      <x:bottom style="thin">
        <x:color rgb="FFC7D3DD"/>
      </x:bottom>
    </x:border>
    <x:border>
      <x:right style="thin">
        <x:color rgb="FFC7D3DD"/>
      </x:right>
      <x:bottom style="thin">
        <x:color rgb="FFC7D3DD"/>
      </x:bottom>
    </x:border>
    <x:border>
      <x:left style="thin">
        <x:color rgb="FFC7D3DD"/>
      </x:left>
      <x:top style="thin">
        <x:color rgb="FFC7D3DD"/>
      </x:top>
    </x:border>
    <x:border>
      <x:right style="thin">
        <x:color rgb="FFC7D3DD"/>
      </x:right>
      <x:top style="thin">
        <x:color rgb="FFC7D3DD"/>
      </x:top>
    </x:border>
    <x:border>
      <x:left style="thin">
        <x:color rgb="FFC7D3DD"/>
      </x:left>
    </x:border>
    <x:border>
      <x:right style="thin">
        <x:color rgb="FFC7D3DD"/>
      </x:right>
    </x:border>
    <x:border>
      <x:left style="thin">
        <x:color rgb="FFC7D3DD"/>
      </x:left>
      <x:bottom style="thin">
        <x:color rgb="FFC7D3DD"/>
      </x:bottom>
    </x:border>
    <x:border>
      <x:right style="thin">
        <x:color rgb="FFC7D3DD"/>
      </x:right>
      <x:bottom style="thin">
        <x:color rgb="FFC7D3DD"/>
      </x:bottom>
    </x:border>
  </x:borders>
  <x:cellStyleXfs count="1">
    <x:xf numFmtId="0" fontId="0" fillId="0" borderId="0"/>
  </x:cellStyleXfs>
  <x:cellXfs count="8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1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4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 applyAlignment="1">
      <x:alignment horizontal="center" vertical="center" wrapText="1"/>
    </x:xf>
    <x:xf numFmtId="0" fontId="3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/>
    <x:xf numFmtId="0" fontId="0" fillId="0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3" fillId="5" borderId="2" xfId="0" applyNumberFormat="1" applyFont="1" applyFill="1" applyBorder="1" applyAlignment="1">
      <x:alignment horizontal="center" vertical="center" wrapText="1"/>
    </x:xf>
    <x:xf numFmtId="0" fontId="3" fillId="5" borderId="3" xfId="0" applyNumberFormat="1" applyFont="1" applyFill="1" applyBorder="1" applyAlignment="1">
      <x:alignment horizontal="center" vertical="center" wrapText="1"/>
    </x:xf>
    <x:xf numFmtId="0" fontId="4" fillId="0" borderId="4" xfId="0" applyNumberFormat="1" applyFont="1" applyFill="1" applyBorder="1"/>
    <x:xf numFmtId="0" fontId="4" fillId="0" borderId="6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horizontal="center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horizontal="left"/>
    </x:xf>
    <x:xf numFmtId="0" fontId="1" fillId="7" borderId="0" xfId="0" applyNumberFormat="1" applyFont="1" applyFill="1" applyBorder="1" applyAlignment="1">
      <x:alignment horizontal="left" vertical="center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3" fillId="6" borderId="2" xfId="0" applyNumberFormat="1" applyFont="1" applyFill="1" applyBorder="1" applyAlignment="1">
      <x:alignment horizontal="center" vertical="center" wrapText="1"/>
    </x:xf>
    <x:xf numFmtId="0" fontId="3" fillId="6" borderId="3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4">
    <x:dxf>
      <x:font>
        <x:color rgb="FF274E13"/>
      </x:font>
      <x:fill>
        <x:patternFill>
          <x:bgColor rgb="FFD9EAD3"/>
        </x:patternFill>
      </x:fill>
    </x:dxf>
    <x:dxf>
      <x:font>
        <x:color rgb="FF7F6000"/>
      </x:font>
      <x:fill>
        <x:patternFill>
          <x:bgColor rgb="FFFFF2CC"/>
        </x:patternFill>
      </x:fill>
    </x:dxf>
    <x:dxf>
      <x:font>
        <x:color rgb="FF444444"/>
      </x:font>
      <x:fill>
        <x:patternFill>
          <x:bgColor rgb="FFE7E6E6"/>
        </x:patternFill>
      </x:fill>
    </x:dxf>
    <x:dxf>
      <x:font>
        <x:b/>
        <x:color rgb="FF274E13"/>
      </x:font>
      <x:fill>
        <x:patternFill>
          <x:bgColor rgb="FFD9EAD3"/>
        </x:patternFill>
      </x:fill>
    </x:dxf>
    <x:dxf>
      <x:font>
        <x:b/>
        <x:color rgb="FF7F6000"/>
      </x:font>
      <x:fill>
        <x:patternFill>
          <x:bgColor rgb="FFFFF2CC"/>
        </x:patternFill>
      </x:fill>
    </x:dxf>
    <x:dxf>
      <x:font>
        <x:b/>
        <x:color rgb="FF990000"/>
      </x:font>
      <x:fill>
        <x:patternFill>
          <x:bgColor rgb="FFF4CCCC"/>
        </x:patternFill>
      </x:fill>
    </x:dxf>
    <x:dxf>
      <x:font>
        <x:b/>
        <x:color rgb="FF073763"/>
      </x:font>
      <x:fill>
        <x:patternFill>
          <x:bgColor rgb="FFCFE2F3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90000"/>
      </x:font>
      <x:fill>
        <x:patternFill patternType="solid">
          <x:bgColor rgb="FFF4CC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444444"/>
      </x:font>
      <x:fill>
        <x:patternFill patternType="solid">
          <x:bgColor rgb="FFE7E6E6"/>
        </x:patternFill>
      </x:fill>
    </x:dxf>
    <x:dxf>
      <x:font>
        <x:b/>
        <x:color rgb="FF073763"/>
      </x:font>
      <x:fill>
        <x:patternFill patternType="solid">
          <x:bgColor rgb="FFCFE2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3d754e7fb344eb" /><Relationship Type="http://schemas.openxmlformats.org/officeDocument/2006/relationships/theme" Target="/xl/theme/theme1.xml" Id="Rf7651cf96f98485b" /><Relationship Type="http://schemas.openxmlformats.org/officeDocument/2006/relationships/sharedStrings" Target="/xl/sharedStrings.xml" Id="Rdc86313770a14c6c" /><Relationship Type="http://schemas.openxmlformats.org/officeDocument/2006/relationships/worksheet" Target="/xl/worksheets/sheet1.xml" Id="R9874999c9961454e" /><Relationship Type="http://schemas.openxmlformats.org/officeDocument/2006/relationships/worksheet" Target="/xl/worksheets/sheet2.xml" Id="Rbd29b3836e4f4210" /><Relationship Type="http://schemas.openxmlformats.org/officeDocument/2006/relationships/worksheet" Target="/xl/worksheets/sheet3.xml" Id="R536ea06e005b43e0" /><Relationship Type="http://schemas.openxmlformats.org/officeDocument/2006/relationships/worksheet" Target="/xl/worksheets/sheet4.xml" Id="R2e04be8d67d44085" /><Relationship Type="http://schemas.openxmlformats.org/officeDocument/2006/relationships/worksheet" Target="/xl/worksheets/sheet5.xml" Id="R5a0539213519415f" /><Relationship Type="http://schemas.openxmlformats.org/officeDocument/2006/relationships/worksheet" Target="/xl/worksheets/sheet6.xml" Id="Recc6a6f976564aec" /><Relationship Type="http://schemas.openxmlformats.org/officeDocument/2006/relationships/worksheet" Target="/xl/worksheets/sheet7.xml" Id="R4f64220a1e8543c8" /><Relationship Type="http://schemas.openxmlformats.org/officeDocument/2006/relationships/worksheet" Target="/xl/worksheets/sheet8.xml" Id="Rd76b6a11108b4e9e" /></Relationships>
</file>

<file path=xl/tables/table1.xml><?xml version="1.0" encoding="utf-8"?>
<x:table xmlns:x="http://schemas.openxmlformats.org/spreadsheetml/2006/main" id="1" name="PurveyorRegistryTable" displayName="PurveyorRegistryTable" ref="A1:K142" headerRowCount="1">
  <x:tableColumns count="11">
    <x:tableColumn id="1" name="Purveyor"/>
    <x:tableColumn id="2" name="Category"/>
    <x:tableColumn id="3" name="Source Group"/>
    <x:tableColumn id="4" name="Website"/>
    <x:tableColumn id="5" name="Ordering URL"/>
    <x:tableColumn id="6" name="Portal Status"/>
    <x:tableColumn id="7" name="Order Template / Import Docs"/>
    <x:tableColumn id="8" name="Template / Export Type"/>
    <x:tableColumn id="9" name="Verification Source"/>
    <x:tableColumn id="10" name="Notes"/>
    <x:tableColumn id="11" name="Verified On"/>
  </x:tableColumns>
  <x:tableStyleInfo name="TableStyleMedium2" showRowStripes="1"/>
</x:table>
</file>

<file path=xl/tables/table2.xml><?xml version="1.0" encoding="utf-8"?>
<x:table xmlns:x="http://schemas.openxmlformats.org/spreadsheetml/2006/main" id="2" name="CoverageSourcesTable" displayName="CoverageSourcesTable" ref="A1:D8" headerRowCount="1">
  <x:tableColumns count="4">
    <x:tableColumn id="1" name="Source"/>
    <x:tableColumn id="2" name="URL"/>
    <x:tableColumn id="3" name="Coverage / Use"/>
    <x:tableColumn id="4" name="Limitations"/>
  </x:tableColumns>
  <x:tableStyleInfo name="TableStyleMedium2" showRowStripes="1"/>
</x:table>
</file>

<file path=xl/tables/table3.xml><?xml version="1.0" encoding="utf-8"?>
<x:table xmlns:x="http://schemas.openxmlformats.org/spreadsheetml/2006/main" id="3" name="GeographicCoverageTable" displayName="GeographicCoverageTable" ref="A1:K142" headerRowCount="1">
  <x:tableColumns count="11">
    <x:tableColumn id="1" name="Purveyor"/>
    <x:tableColumn id="2" name="Coverage Tier"/>
    <x:tableColumn id="3" name="Primary Region"/>
    <x:tableColumn id="4" name="States / Territories Served"/>
    <x:tableColumn id="5" name="Metro / Detailed Area"/>
    <x:tableColumn id="6" name="State Match Codes"/>
    <x:tableColumn id="7" name="Geography Source"/>
    <x:tableColumn id="8" name="Confidence"/>
    <x:tableColumn id="9" name="Coverage Notes"/>
    <x:tableColumn id="10" name="Verified On"/>
    <x:tableColumn id="11" name="Match Selected State?"/>
  </x:tableColumns>
  <x:tableStyleInfo name="TableStyleMedium2" showRowStripes="1"/>
</x:table>
</file>

<file path=xl/tables/table4.xml><?xml version="1.0" encoding="utf-8"?>
<x:table xmlns:x="http://schemas.openxmlformats.org/spreadsheetml/2006/main" id="4" name="VendorMasterV2Table" displayName="VendorMasterV2Table" ref="A1:AC187" headerRowCount="1">
  <x:tableColumns count="29">
    <x:tableColumn id="1" name="Vendor ID"/>
    <x:tableColumn id="2" name="Canonical Vendor Name"/>
    <x:tableColumn id="3" name="Aliases / Legacy Names"/>
    <x:tableColumn id="4" name="Vendor Type"/>
    <x:tableColumn id="5" name="Category"/>
    <x:tableColumn id="6" name="Active Status"/>
    <x:tableColumn id="7" name="Parent / Network"/>
    <x:tableColumn id="8" name="Country"/>
    <x:tableColumn id="9" name="Country Code"/>
    <x:tableColumn id="10" name="HQ / Primary Market"/>
    <x:tableColumn id="11" name="Coverage Tier"/>
    <x:tableColumn id="12" name="States / Provinces / Territories"/>
    <x:tableColumn id="13" name="State Match Codes"/>
    <x:tableColumn id="14" name="Service Area Notes"/>
    <x:tableColumn id="15" name="Website"/>
    <x:tableColumn id="16" name="Website Domain"/>
    <x:tableColumn id="17" name="Ordering URL"/>
    <x:tableColumn id="18" name="Connector Key"/>
    <x:tableColumn id="19" name="Portal Status"/>
    <x:tableColumn id="20" name="Order Template / Import Docs"/>
    <x:tableColumn id="21" name="Template / Export Type"/>
    <x:tableColumn id="22" name="Directory Membership / Source Group"/>
    <x:tableColumn id="23" name="Primary Source URL"/>
    <x:tableColumn id="24" name="Geography Source URL"/>
    <x:tableColumn id="25" name="Verified On"/>
    <x:tableColumn id="26" name="Confidence"/>
    <x:tableColumn id="27" name="Seed Status"/>
    <x:tableColumn id="28" name="New / Updated in v2"/>
    <x:tableColumn id="29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VendorSeedExportTable" displayName="VendorSeedExportTable" ref="A1:O187" headerRowCount="1">
  <x:tableColumns count="15">
    <x:tableColumn id="1" name="vendor_key"/>
    <x:tableColumn id="2" name="canonical_name"/>
    <x:tableColumn id="3" name="aliases_pipe"/>
    <x:tableColumn id="4" name="website_domain"/>
    <x:tableColumn id="5" name="country_code"/>
    <x:tableColumn id="6" name="state_codes_csv"/>
    <x:tableColumn id="7" name="vendor_type"/>
    <x:tableColumn id="8" name="category"/>
    <x:tableColumn id="9" name="connector_key"/>
    <x:tableColumn id="10" name="ordering_url"/>
    <x:tableColumn id="11" name="active_status"/>
    <x:tableColumn id="12" name="parent_network"/>
    <x:tableColumn id="13" name="seed_status"/>
    <x:tableColumn id="14" name="source_url"/>
    <x:tableColumn id="15" name="verified_on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9cc1d929c1d49c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5b0ce3b274439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768e7ae766477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4df6719745ad4de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a142690ed2c4a87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80" hidden="0" customWidth="1"/>
    <x:col min="4" max="4" width="35" hidden="0" customWidth="1"/>
    <x:col min="5" max="5" width="18" hidden="0" customWidth="1"/>
  </x:cols>
  <x:sheetData>
    <x:row r="1" ht="30" customHeight="1">
      <x:c r="A1" s="5" t="str">
        <x:v>U.S. Food Purveyor &amp; Ordering Portal Registry</x:v>
      </x:c>
      <x:c r="B1" s="5"/>
      <x:c r="C1" s="5"/>
      <x:c r="D1" s="5"/>
      <x:c r="E1" s="5"/>
      <x:c r="F1" s="5"/>
      <x:c r="G1" s="5"/>
      <x:c r="H1" s="5"/>
    </x:row>
    <x:row r="2" ht="22" customHeight="1">
      <x:c r="A2" s="11" t="str">
        <x:v>Phase 1 research build — verified July 13, 2026</x:v>
      </x:c>
      <x:c r="B2" s="11"/>
      <x:c r="C2" s="11"/>
      <x:c r="D2" s="11"/>
      <x:c r="E2" s="11"/>
      <x:c r="F2" s="11"/>
      <x:c r="G2" s="11"/>
      <x:c r="H2" s="11"/>
    </x:row>
    <x:row r="4">
      <x:c r="A4" s="30" t="str">
        <x:v>Purpose</x:v>
      </x:c>
      <x:c r="B4" s="31" t="str">
        <x:v>A working integration registry of U.S. foodservice purveyors, public websites, customer ordering URLs, and public order-template/import documentation.</x:v>
      </x:c>
      <x:c r="D4" s="42" t="str">
        <x:v>Metric</x:v>
      </x:c>
      <x:c r="E4" s="43" t="str">
        <x:v>Count</x:v>
      </x:c>
    </x:row>
    <x:row r="5">
      <x:c r="A5" s="32" t="str">
        <x:v>Important limitation</x:v>
      </x:c>
      <x:c r="B5" s="33" t="str">
        <x:v>There is no single authoritative public list of every U.S. purveyor. IFDA reports roughly 17,100 U.S. foodservice-distribution facilities, while public association directories cover only subsets of companies and locations.</x:v>
      </x:c>
      <x:c r="D5" s="44" t="str">
        <x:v>Registry entries</x:v>
      </x:c>
      <x:c r="E5" s="45" t="n">
        <x:f>COUNTA('Purveyor Registry'!A2:A500)</x:f>
        <x:v>141</x:v>
      </x:c>
    </x:row>
    <x:row r="6">
      <x:c r="A6" s="32" t="str">
        <x:v>What is included</x:v>
      </x:c>
      <x:c r="B6" s="33" t="str">
        <x:v>141 companies/networks: U.S.-based IFDA entries plus selected national, online, produce and specialty purveyors.</x:v>
      </x:c>
      <x:c r="D6" s="44" t="str">
        <x:v>Verified direct/landing/e-commerce</x:v>
      </x:c>
      <x:c r="E6" s="45" t="n">
        <x:f>COUNTIF('Purveyor Registry'!G2:G500,"Verified*")+COUNTIF('Purveyor Registry'!G2:G500,"Public e-commerce*")</x:f>
        <x:v>0</x:v>
      </x:c>
    </x:row>
    <x:row r="7">
      <x:c r="A7" s="32" t="str">
        <x:v>Ordering URL rule</x:v>
      </x:c>
      <x:c r="B7" s="33" t="str">
        <x:v>A direct portal is included only when publicly verifiable. Otherwise the field is blank and Portal Status explains the limitation.</x:v>
      </x:c>
      <x:c r="D7" s="44" t="str">
        <x:v>Public template/import documentation</x:v>
      </x:c>
      <x:c r="E7" s="45" t="n">
        <x:f>COUNTIF('Purveyor Registry'!H2:H500,"?*")</x:f>
        <x:v>0</x:v>
      </x:c>
    </x:row>
    <x:row r="8">
      <x:c r="A8" s="32" t="str">
        <x:v>Template rule</x:v>
      </x:c>
      <x:c r="B8" s="33" t="str">
        <x:v>Official vendor templates are preferred. Third-party CSV/export instructions are clearly labeled; many vendor templates are only downloadable after login.</x:v>
      </x:c>
      <x:c r="D8" s="44" t="str">
        <x:v>Network/cooperative entries</x:v>
      </x:c>
      <x:c r="E8" s="45" t="n">
        <x:f>COUNTIF('Purveyor Registry'!G2:G500,"Network*")</x:f>
        <x:v>0</x:v>
      </x:c>
    </x:row>
    <x:row r="9">
      <x:c r="A9" s="32" t="str">
        <x:v>Recommended use</x:v>
      </x:c>
      <x:c r="B9" s="33" t="str">
        <x:v>Seed a platformVendorRegistry, then add aliases/domains and let customers submit missing regional purveyors for admin approval.</x:v>
      </x:c>
      <x:c r="D9" s="46" t="str">
        <x:v>Unverified portal entries</x:v>
      </x:c>
      <x:c r="E9" s="47" t="n">
        <x:f>COUNTIF('Purveyor Registry'!G2:G500,"Ordering portal not publicly verified")</x:f>
        <x:v>0</x:v>
      </x:c>
    </x:row>
    <x:row r="10">
      <x:c r="A10" s="34" t="str">
        <x:v>Next expansion</x:v>
      </x:c>
      <x:c r="B10" s="35" t="str">
        <x:v>Systematically enumerate UniPro, Frosty Acres, Golbon and state/regional directories; verify portal technology, CSV schema and upload capability account-by-account.</x:v>
      </x:c>
    </x:row>
    <x:row r="12">
      <x:c r="A12" s="30" t="str">
        <x:v>Geographic matching</x:v>
      </x:c>
      <x:c r="B12" s="31" t="str">
        <x:v>Choose a two-letter customer state code in E13, then filter “Match Selected State?” to MATCH on the Geographic Coverage sheet.</x:v>
      </x:c>
      <x:c r="D12" s="64" t="str">
        <x:v>Geography Matcher</x:v>
      </x:c>
      <x:c r="E12" s="65" t="str">
        <x:v>Value</x:v>
      </x:c>
    </x:row>
    <x:row r="13">
      <x:c r="A13" s="32" t="str">
        <x:v>Matching policy</x:v>
      </x:c>
      <x:c r="B13" s="33" t="str">
        <x:v>Only explicitly confirmed state territories auto-match. National and online-nationwide vendors match every state; vague regional claims do not.</x:v>
      </x:c>
      <x:c r="D13" s="66" t="str">
        <x:v>Customer State Code</x:v>
      </x:c>
      <x:c r="E13" s="45" t="str">
        <x:v>FL</x:v>
      </x:c>
    </x:row>
    <x:row r="14">
      <x:c r="A14" s="32" t="str">
        <x:v>ZIP warning</x:v>
      </x:c>
      <x:c r="B14" s="33" t="str">
        <x:v>A state match is a candidate, not a delivery guarantee. Many purveyors serve only selected counties, metros or routes within a state.</x:v>
      </x:c>
      <x:c r="D14" s="66" t="str">
        <x:v>Matching Vendors</x:v>
      </x:c>
      <x:c r="E14" s="45" t="n">
        <x:f>COUNTIF('Geographic Coverage'!$K$2:$K$142,"MATCH")</x:f>
        <x:v>28</x:v>
      </x:c>
    </x:row>
    <x:row r="15">
      <x:c r="A15" s="32" t="str">
        <x:v>Confidence</x:v>
      </x:c>
      <x:c r="B15" s="33" t="str">
        <x:v>High = explicit official territory or national footprint; Medium = official facilities/regions with partial inference; Low = preliminary regional inference needing verification.</x:v>
      </x:c>
      <x:c r="D15" s="66" t="str">
        <x:v>High-confidence Rows</x:v>
      </x:c>
      <x:c r="E15" s="45" t="n">
        <x:f>COUNTIF('Geographic Coverage'!$H$2:$H$142,"High")</x:f>
        <x:v>63</x:v>
      </x:c>
    </x:row>
    <x:row r="16">
      <x:c r="A16" s="32" t="str">
        <x:v>Networks / closed systems</x:v>
      </x:c>
      <x:c r="B16" s="33" t="str">
        <x:v>Buying groups, redistributors and franchise supply systems remain in the registry but are intentionally not treated as direct local vendor matches.</x:v>
      </x:c>
      <x:c r="D16" s="66" t="str">
        <x:v>Medium-confidence Rows</x:v>
      </x:c>
      <x:c r="E16" s="45" t="n">
        <x:f>COUNTIF('Geographic Coverage'!$H$2:$H$142,"Medium")</x:f>
        <x:v>23</x:v>
      </x:c>
    </x:row>
    <x:row r="17">
      <x:c r="A17" s="32" t="str">
        <x:v>Source discipline</x:v>
      </x:c>
      <x:c r="B17" s="33" t="str">
        <x:v>Every row includes a public source URL. Use the exact customer ZIP or vendor sales contact for final qualification.</x:v>
      </x:c>
      <x:c r="D17" s="67" t="str">
        <x:v>Low-confidence Rows</x:v>
      </x:c>
      <x:c r="E17" s="47" t="n">
        <x:f>COUNTIF('Geographic Coverage'!$H$2:$H$142,"Low")</x:f>
        <x:v>55</x:v>
      </x:c>
    </x:row>
    <x:row r="18">
      <x:c r="A18" s="34" t="str">
        <x:v>Last geography refresh</x:v>
      </x:c>
      <x:c r="B18" s="35" t="str">
        <x:v>July 14, 2026</x:v>
      </x:c>
    </x:row>
    <x:row r="20" ht="30" customHeight="1">
      <x:c r="A20" s="76" t="str">
        <x:v>FnB Cost Pro Vendor Master v2.0</x:v>
      </x:c>
      <x:c r="B20" s="76"/>
      <x:c r="C20" s="76"/>
      <x:c r="D20" s="76"/>
      <x:c r="E20" s="76"/>
      <x:c r="F20" s="76"/>
      <x:c r="G20" s="76"/>
      <x:c r="H20" s="76"/>
    </x:row>
    <x:row r="21" ht="22" customHeight="1">
      <x:c r="A21" s="78" t="str">
        <x:v>Current research cutoff: July 14, 2026</x:v>
      </x:c>
      <x:c r="B21" s="78"/>
      <x:c r="C21" s="78"/>
      <x:c r="D21" s="78"/>
      <x:c r="E21" s="78"/>
      <x:c r="F21" s="78"/>
      <x:c r="G21" s="78"/>
      <x:c r="H21" s="78"/>
    </x:row>
    <x:row r="23">
      <x:c r="A23" s="30" t="str">
        <x:v>Purpose</x:v>
      </x:c>
      <x:c r="B23" s="31" t="str">
        <x:v>Production-oriented seed master for FnB Cost Pro's platformVendorRegistry and vendor discovery workflow.</x:v>
      </x:c>
      <x:c r="D23" s="79" t="str">
        <x:v>v2 KPI</x:v>
      </x:c>
      <x:c r="E23" s="80" t="str">
        <x:v>Count</x:v>
      </x:c>
    </x:row>
    <x:row r="24">
      <x:c r="A24" s="32" t="str">
        <x:v>Main sheet</x:v>
      </x:c>
      <x:c r="B24" s="33" t="str">
        <x:v>Vendor Master v2 contains canonical names, aliases, countries, geography, ordering portals, connector keys, ownership status and seed decisions.</x:v>
      </x:c>
      <x:c r="D24" s="44" t="str">
        <x:v>Master records</x:v>
      </x:c>
      <x:c r="E24" s="45" t="n">
        <x:v>186</x:v>
      </x:c>
    </x:row>
    <x:row r="25">
      <x:c r="A25" s="32" t="str">
        <x:v>Seed Export</x:v>
      </x:c>
      <x:c r="B25" s="33" t="str">
        <x:v>A normalized, database-friendly subset designed for direct import or transformation in Replit.</x:v>
      </x:c>
      <x:c r="D25" s="44" t="str">
        <x:v>Net new records</x:v>
      </x:c>
      <x:c r="E25" s="45" t="n">
        <x:v>45</x:v>
      </x:c>
    </x:row>
    <x:row r="26">
      <x:c r="A26" s="32" t="str">
        <x:v>Approved seed</x:v>
      </x:c>
      <x:c r="B26" s="33" t="str">
        <x:v>Sufficiently verified direct vendors and online purveyors suitable for initial seeding.</x:v>
      </x:c>
      <x:c r="D26" s="44" t="str">
        <x:v>Countries / territories</x:v>
      </x:c>
      <x:c r="E26" s="45" t="n">
        <x:v>7</x:v>
      </x:c>
    </x:row>
    <x:row r="27">
      <x:c r="A27" s="32" t="str">
        <x:v>Review before seed</x:v>
      </x:c>
      <x:c r="B27" s="33" t="str">
        <x:v>Real distributors with incomplete website, territory, alias or current-status verification. Queue these for global_admin review.</x:v>
      </x:c>
      <x:c r="D27" s="44" t="str">
        <x:v>Approved seed</x:v>
      </x:c>
      <x:c r="E27" s="45" t="n">
        <x:v>102</x:v>
      </x:c>
    </x:row>
    <x:row r="28">
      <x:c r="A28" s="32" t="str">
        <x:v>Reference only</x:v>
      </x:c>
      <x:c r="B28" s="33" t="str">
        <x:v>Buying groups, redistributors, contract systems and closed franchise supply networks that should not normally appear as a restaurant's direct vendor.</x:v>
      </x:c>
      <x:c r="D28" s="44" t="str">
        <x:v>Review before seed</x:v>
      </x:c>
      <x:c r="E28" s="45" t="n">
        <x:v>65</x:v>
      </x:c>
    </x:row>
    <x:row r="29">
      <x:c r="A29" s="32" t="str">
        <x:v>International scope</x:v>
      </x:c>
      <x:c r="B29" s="33" t="str">
        <x:v>Includes the current international IFDA membership found in Canada, Bermuda, Brazil and South Korea, plus U.S. distributors with cross-border reach.</x:v>
      </x:c>
      <x:c r="D29" s="44" t="str">
        <x:v>Reference only</x:v>
      </x:c>
      <x:c r="E29" s="45" t="n">
        <x:v>19</x:v>
      </x:c>
    </x:row>
    <x:row r="30">
      <x:c r="A30" s="32" t="str">
        <x:v>Identity rule</x:v>
      </x:c>
      <x:c r="B30" s="33" t="str">
        <x:v>Parent ownership does not automatically replace an operating vendor brand. Cheney remains a vendor identity under PFG; Restaurant Depot remains separate while its Sysco transaction is pending.</x:v>
      </x:c>
      <x:c r="D30" s="44" t="str">
        <x:v>Connector-key records</x:v>
      </x:c>
      <x:c r="E30" s="45" t="n">
        <x:v>27</x:v>
      </x:c>
    </x:row>
    <x:row r="31">
      <x:c r="A31" s="34" t="str">
        <x:v>Coverage rule</x:v>
      </x:c>
      <x:c r="B31" s="35" t="str">
        <x:v>State/province matches are candidates only. Final availability still requires customer ZIP/postal-code confirmation.</x:v>
      </x:c>
      <x:c r="D31" s="44" t="str">
        <x:v>Cut+Dry vendors</x:v>
      </x:c>
      <x:c r="E31" s="45" t="n">
        <x:v>2</x:v>
      </x:c>
    </x:row>
    <x:row r="32">
      <x:c r="D32" s="46" t="str">
        <x:v>Public e-commerce connectors</x:v>
      </x:c>
      <x:c r="E32" s="47" t="n">
        <x:v>8</x:v>
      </x:c>
    </x:row>
  </x:sheetData>
  <x:mergeCells>
    <x:mergeCell ref="A1:H1"/>
    <x:mergeCell ref="A2:H2"/>
    <x:mergeCell ref="A20:H20"/>
    <x:mergeCell ref="A21:H21"/>
  </x:mergeCells>
  <x:dataValidations count="1">
    <x:dataValidation type="list" sqref="E13">
      <x:formula1>'State List'!$A$2:$A$53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7" hidden="0" customWidth="1"/>
    <x:col min="3" max="3" width="15" hidden="0" customWidth="1"/>
    <x:col min="4" max="4" width="34" hidden="0" customWidth="1"/>
    <x:col min="5" max="5" width="42" hidden="0" customWidth="1"/>
    <x:col min="6" max="6" width="34" hidden="0" customWidth="1"/>
    <x:col min="7" max="7" width="48" hidden="0" customWidth="1"/>
    <x:col min="8" max="8" width="42" hidden="0" customWidth="1"/>
    <x:col min="9" max="9" width="42" hidden="0" customWidth="1"/>
    <x:col min="10" max="10" width="62" hidden="0" customWidth="1"/>
    <x:col min="11" max="11" width="13" hidden="0" customWidth="1"/>
  </x:cols>
  <x:sheetData>
    <x:row r="1" ht="34" customHeight="1">
      <x:c r="A1" s="18" t="str">
        <x:v>Purveyor</x:v>
      </x:c>
      <x:c r="B1" s="18" t="str">
        <x:v>Category</x:v>
      </x:c>
      <x:c r="C1" s="18" t="str">
        <x:v>Source Group</x:v>
      </x:c>
      <x:c r="D1" s="18" t="str">
        <x:v>Website</x:v>
      </x:c>
      <x:c r="E1" s="18" t="str">
        <x:v>Ordering URL</x:v>
      </x:c>
      <x:c r="F1" s="18" t="str">
        <x:v>Portal Status</x:v>
      </x:c>
      <x:c r="G1" s="18" t="str">
        <x:v>Order Template / Import Docs</x:v>
      </x:c>
      <x:c r="H1" s="18" t="str">
        <x:v>Template / Export Type</x:v>
      </x:c>
      <x:c r="I1" s="18" t="str">
        <x:v>Verification Source</x:v>
      </x:c>
      <x:c r="J1" s="18" t="str">
        <x:v>Notes</x:v>
      </x:c>
      <x:c r="K1" s="18" t="str">
        <x:v>Verified On</x:v>
      </x:c>
    </x:row>
    <x:row r="2">
      <x:c r="A2" s="27" t="str">
        <x:v>A.F. Wendling's Food Service</x:v>
      </x:c>
      <x:c r="B2" s="27" t="str">
        <x:v>Broadline</x:v>
      </x:c>
      <x:c r="C2" s="27" t="str">
        <x:v>IFDA</x:v>
      </x:c>
      <x:c r="D2" s="27" t="str">
        <x:v>https://www.afwendling.com</x:v>
      </x:c>
      <x:c r="E2" s="27" t="str"/>
      <x:c r="F2" s="27" t="str">
        <x:v>Ordering portal not publicly verified</x:v>
      </x:c>
      <x:c r="G2" s="27" t="str"/>
      <x:c r="H2" s="27" t="str">
        <x:v>No public template located in this pass</x:v>
      </x:c>
      <x:c r="I2" s="27" t="str">
        <x:v>https://ifdaonline.org/distributor-members/</x:v>
      </x:c>
      <x:c r="J2" s="27" t="str">
        <x:v>Direct website verified from directory/source; customer ordering route requires additional account-level or site-specific verification.</x:v>
      </x:c>
      <x:c r="K2" s="54" t="n">
        <x:v>46216</x:v>
      </x:c>
    </x:row>
    <x:row r="3">
      <x:c r="A3" s="27" t="str">
        <x:v>Ace Endico Corp.</x:v>
      </x:c>
      <x:c r="B3" s="27" t="str">
        <x:v>Italian / specialty broadline</x:v>
      </x:c>
      <x:c r="C3" s="27" t="str">
        <x:v>IFDA</x:v>
      </x:c>
      <x:c r="D3" s="27" t="str">
        <x:v>https://www.aceendico.com</x:v>
      </x:c>
      <x:c r="E3" s="27" t="str"/>
      <x:c r="F3" s="27" t="str">
        <x:v>Ordering portal not publicly verified</x:v>
      </x:c>
      <x:c r="G3" s="27" t="str"/>
      <x:c r="H3" s="27" t="str">
        <x:v>No public template located in this pass</x:v>
      </x:c>
      <x:c r="I3" s="27" t="str">
        <x:v>https://ifdaonline.org/distributor-members/</x:v>
      </x:c>
      <x:c r="J3" s="27" t="str">
        <x:v>Direct website verified from directory/source; customer ordering route requires additional account-level or site-specific verification.</x:v>
      </x:c>
      <x:c r="K3" s="54" t="n">
        <x:v>46216</x:v>
      </x:c>
    </x:row>
    <x:row r="4">
      <x:c r="A4" s="27" t="str">
        <x:v>AMCON Distributing Company</x:v>
      </x:c>
      <x:c r="B4" s="27" t="str">
        <x:v>Convenience distribution</x:v>
      </x:c>
      <x:c r="C4" s="27" t="str">
        <x:v>IFDA</x:v>
      </x:c>
      <x:c r="D4" s="27" t="str">
        <x:v>https://www.amcon.com</x:v>
      </x:c>
      <x:c r="E4" s="27" t="str"/>
      <x:c r="F4" s="27" t="str">
        <x:v>Ordering portal not publicly verified</x:v>
      </x:c>
      <x:c r="G4" s="27" t="str"/>
      <x:c r="H4" s="27" t="str">
        <x:v>No public template located in this pass</x:v>
      </x:c>
      <x:c r="I4" s="27" t="str">
        <x:v>https://ifdaonline.org/distributor-members/</x:v>
      </x:c>
      <x:c r="J4" s="27" t="str">
        <x:v>Direct website verified from directory/source; customer ordering route requires additional account-level or site-specific verification.</x:v>
      </x:c>
      <x:c r="K4" s="54" t="n">
        <x:v>46216</x:v>
      </x:c>
    </x:row>
    <x:row r="5">
      <x:c r="A5" s="27" t="str">
        <x:v>Atlas Wholesale Food Co.</x:v>
      </x:c>
      <x:c r="B5" s="27" t="str">
        <x:v>Broadline</x:v>
      </x:c>
      <x:c r="C5" s="27" t="str">
        <x:v>IFDA</x:v>
      </x:c>
      <x:c r="D5" s="27" t="str">
        <x:v>https://www.atlaswholesale.com</x:v>
      </x:c>
      <x:c r="E5" s="27" t="str"/>
      <x:c r="F5" s="27" t="str">
        <x:v>Ordering portal not publicly verified</x:v>
      </x:c>
      <x:c r="G5" s="27" t="str"/>
      <x:c r="H5" s="27" t="str">
        <x:v>No public template located in this pass</x:v>
      </x:c>
      <x:c r="I5" s="27" t="str">
        <x:v>https://ifdaonline.org/distributor-members/</x:v>
      </x:c>
      <x:c r="J5" s="27" t="str">
        <x:v>Direct website verified from directory/source; customer ordering route requires additional account-level or site-specific verification.</x:v>
      </x:c>
      <x:c r="K5" s="54" t="n">
        <x:v>46216</x:v>
      </x:c>
    </x:row>
    <x:row r="6">
      <x:c r="A6" s="27" t="str">
        <x:v>Avalon Foodservice, Inc.</x:v>
      </x:c>
      <x:c r="B6" s="27" t="str">
        <x:v>Broadline</x:v>
      </x:c>
      <x:c r="C6" s="27" t="str">
        <x:v>IFDA</x:v>
      </x:c>
      <x:c r="D6" s="27" t="str">
        <x:v>https://www.avalonfoods.com</x:v>
      </x:c>
      <x:c r="E6" s="27" t="str"/>
      <x:c r="F6" s="27" t="str">
        <x:v>Ordering portal not publicly verified</x:v>
      </x:c>
      <x:c r="G6" s="27" t="str"/>
      <x:c r="H6" s="27" t="str">
        <x:v>No public template located in this pass</x:v>
      </x:c>
      <x:c r="I6" s="27" t="str">
        <x:v>https://ifdaonline.org/distributor-members/</x:v>
      </x:c>
      <x:c r="J6" s="27" t="str">
        <x:v>Direct website verified from directory/source; customer ordering route requires additional account-level or site-specific verification.</x:v>
      </x:c>
      <x:c r="K6" s="54" t="n">
        <x:v>46216</x:v>
      </x:c>
    </x:row>
    <x:row r="7">
      <x:c r="A7" s="27" t="str">
        <x:v>Baily Foodservice</x:v>
      </x:c>
      <x:c r="B7" s="27" t="str">
        <x:v>Broadline</x:v>
      </x:c>
      <x:c r="C7" s="27" t="str">
        <x:v>IFDA</x:v>
      </x:c>
      <x:c r="D7" s="27" t="str">
        <x:v>https://www.bailyatl.com</x:v>
      </x:c>
      <x:c r="E7" s="27" t="str"/>
      <x:c r="F7" s="27" t="str">
        <x:v>Ordering portal not publicly verified</x:v>
      </x:c>
      <x:c r="G7" s="27" t="str"/>
      <x:c r="H7" s="27" t="str">
        <x:v>No public template located in this pass</x:v>
      </x:c>
      <x:c r="I7" s="27" t="str">
        <x:v>https://ifdaonline.org/distributor-members/</x:v>
      </x:c>
      <x:c r="J7" s="27" t="str">
        <x:v>Direct website verified from directory/source; customer ordering route requires additional account-level or site-specific verification.</x:v>
      </x:c>
      <x:c r="K7" s="54" t="n">
        <x:v>46216</x:v>
      </x:c>
    </x:row>
    <x:row r="8">
      <x:c r="A8" s="27" t="str">
        <x:v>Balford</x:v>
      </x:c>
      <x:c r="B8" s="27" t="str">
        <x:v>Dairy / foodservice</x:v>
      </x:c>
      <x:c r="C8" s="27" t="str">
        <x:v>IFDA</x:v>
      </x:c>
      <x:c r="D8" s="27" t="str">
        <x:v>https://www.balford.com</x:v>
      </x:c>
      <x:c r="E8" s="27" t="str"/>
      <x:c r="F8" s="27" t="str">
        <x:v>Ordering portal not publicly verified</x:v>
      </x:c>
      <x:c r="G8" s="27" t="str"/>
      <x:c r="H8" s="27" t="str">
        <x:v>No public template located in this pass</x:v>
      </x:c>
      <x:c r="I8" s="27" t="str">
        <x:v>https://ifdaonline.org/distributor-members/</x:v>
      </x:c>
      <x:c r="J8" s="27" t="str">
        <x:v>Direct website verified from directory/source; customer ordering route requires additional account-level or site-specific verification.</x:v>
      </x:c>
      <x:c r="K8" s="54" t="n">
        <x:v>46216</x:v>
      </x:c>
    </x:row>
    <x:row r="9">
      <x:c r="A9" s="27" t="str">
        <x:v>Ben E. Keith Foods</x:v>
      </x:c>
      <x:c r="B9" s="27" t="str">
        <x:v>Broadline</x:v>
      </x:c>
      <x:c r="C9" s="27" t="str">
        <x:v>IFDA</x:v>
      </x:c>
      <x:c r="D9" s="27" t="str">
        <x:v>https://www.benekeith.com</x:v>
      </x:c>
      <x:c r="E9" s="27" t="str">
        <x:v>https://www.bekentree.com/</x:v>
      </x:c>
      <x:c r="F9" s="27" t="str">
        <x:v>Verified direct customer portal (Entrée)</x:v>
      </x:c>
      <x:c r="G9" s="27" t="str">
        <x:v>https://costguard.zendesk.com/hc/en-us/articles/235436388-Sysco-GFS-PFG-Reinhart-USF-and-Ben-E-Keith-Order-Guides-Importing-and-Exporting</x:v>
      </x:c>
      <x:c r="H9" s="27" t="str">
        <x:v>Sample CSV order-guide format (third party)</x:v>
      </x:c>
      <x:c r="I9" s="27" t="str">
        <x:v>https://www.benekeith.com/food/resources/online/entree-system/</x:v>
      </x:c>
      <x:c r="J9" s="27" t="str">
        <x:v>Entrée supports ordering, lists, invoices, inventory and delivery tracking.</x:v>
      </x:c>
      <x:c r="K9" s="54" t="n">
        <x:v>46216</x:v>
      </x:c>
    </x:row>
    <x:row r="10">
      <x:c r="A10" s="27" t="str">
        <x:v>BiRite Foodservice Distributors</x:v>
      </x:c>
      <x:c r="B10" s="27" t="str">
        <x:v>Broadline</x:v>
      </x:c>
      <x:c r="C10" s="27" t="str">
        <x:v>IFDA</x:v>
      </x:c>
      <x:c r="D10" s="27" t="str">
        <x:v>https://birite.com</x:v>
      </x:c>
      <x:c r="E10" s="27" t="str"/>
      <x:c r="F10" s="27" t="str">
        <x:v>Ordering portal not publicly verified</x:v>
      </x:c>
      <x:c r="G10" s="27" t="str"/>
      <x:c r="H10" s="27" t="str">
        <x:v>No public template located in this pass</x:v>
      </x:c>
      <x:c r="I10" s="27" t="str">
        <x:v>https://ifdaonline.org/distributor-members/</x:v>
      </x:c>
      <x:c r="J10" s="27" t="str">
        <x:v>Direct website verified from directory/source; customer ordering route requires additional account-level or site-specific verification.</x:v>
      </x:c>
      <x:c r="K10" s="54" t="n">
        <x:v>46216</x:v>
      </x:c>
    </x:row>
    <x:row r="11">
      <x:c r="A11" s="27" t="str">
        <x:v>Brown Foodservice, Inc.</x:v>
      </x:c>
      <x:c r="B11" s="27" t="str">
        <x:v>Broadline</x:v>
      </x:c>
      <x:c r="C11" s="27" t="str">
        <x:v>IFDA</x:v>
      </x:c>
      <x:c r="D11" s="27" t="str">
        <x:v>https://www.brownfoodservice.com</x:v>
      </x:c>
      <x:c r="E11" s="27" t="str"/>
      <x:c r="F11" s="27" t="str">
        <x:v>Ordering portal not publicly verified</x:v>
      </x:c>
      <x:c r="G11" s="27" t="str"/>
      <x:c r="H11" s="27" t="str">
        <x:v>No public template located in this pass</x:v>
      </x:c>
      <x:c r="I11" s="27" t="str">
        <x:v>https://ifdaonline.org/distributor-members/</x:v>
      </x:c>
      <x:c r="J11" s="27" t="str">
        <x:v>Direct website verified from directory/source; customer ordering route requires additional account-level or site-specific verification.</x:v>
      </x:c>
      <x:c r="K11" s="54" t="n">
        <x:v>46216</x:v>
      </x:c>
    </x:row>
    <x:row r="12">
      <x:c r="A12" s="27" t="str">
        <x:v>Burlington Distributing Company</x:v>
      </x:c>
      <x:c r="B12" s="27" t="str">
        <x:v>Closed-system / chain supply</x:v>
      </x:c>
      <x:c r="C12" s="27" t="str">
        <x:v>IFDA</x:v>
      </x:c>
      <x:c r="D12" s="27" t="str">
        <x:v>https://biscuitville.com</x:v>
      </x:c>
      <x:c r="E12" s="27" t="str"/>
      <x:c r="F12" s="27" t="str">
        <x:v>Closed or franchise/system-specific ordering</x:v>
      </x:c>
      <x:c r="G12" s="27" t="str"/>
      <x:c r="H12" s="27" t="str">
        <x:v>No public template located in this pass</x:v>
      </x:c>
      <x:c r="I12" s="27" t="str">
        <x:v>https://ifdaonline.org/distributor-members/</x:v>
      </x:c>
      <x:c r="J12" s="27" t="str">
        <x:v>Direct website verified from directory/source; customer ordering route requires additional account-level or site-specific verification.</x:v>
      </x:c>
      <x:c r="K12" s="54" t="n">
        <x:v>46216</x:v>
      </x:c>
    </x:row>
    <x:row r="13">
      <x:c r="A13" s="27" t="str">
        <x:v>Capitol Distributing</x:v>
      </x:c>
      <x:c r="B13" s="27" t="str">
        <x:v>Convenience / foodservice</x:v>
      </x:c>
      <x:c r="C13" s="27" t="str">
        <x:v>IFDA</x:v>
      </x:c>
      <x:c r="D13" s="27" t="str">
        <x:v>https://capitoldist.com</x:v>
      </x:c>
      <x:c r="E13" s="27" t="str"/>
      <x:c r="F13" s="27" t="str">
        <x:v>Ordering portal not publicly verified</x:v>
      </x:c>
      <x:c r="G13" s="27" t="str"/>
      <x:c r="H13" s="27" t="str">
        <x:v>No public template located in this pass</x:v>
      </x:c>
      <x:c r="I13" s="27" t="str">
        <x:v>https://ifdaonline.org/distributor-members/</x:v>
      </x:c>
      <x:c r="J13" s="27" t="str">
        <x:v>Direct website verified from directory/source; customer ordering route requires additional account-level or site-specific verification.</x:v>
      </x:c>
      <x:c r="K13" s="54" t="n">
        <x:v>46216</x:v>
      </x:c>
    </x:row>
    <x:row r="14">
      <x:c r="A14" s="27" t="str">
        <x:v>Carolina Food Service of Loris</x:v>
      </x:c>
      <x:c r="B14" s="27" t="str">
        <x:v>Broadline</x:v>
      </x:c>
      <x:c r="C14" s="27" t="str">
        <x:v>IFDA</x:v>
      </x:c>
      <x:c r="D14" s="27" t="str">
        <x:v>https://www.carolinafoodservice.com</x:v>
      </x:c>
      <x:c r="E14" s="27" t="str"/>
      <x:c r="F14" s="27" t="str">
        <x:v>Ordering portal not publicly verified</x:v>
      </x:c>
      <x:c r="G14" s="27" t="str"/>
      <x:c r="H14" s="27" t="str">
        <x:v>No public template located in this pass</x:v>
      </x:c>
      <x:c r="I14" s="27" t="str">
        <x:v>https://ifdaonline.org/distributor-members/</x:v>
      </x:c>
      <x:c r="J14" s="27" t="str">
        <x:v>Direct website verified from directory/source; customer ordering route requires additional account-level or site-specific verification.</x:v>
      </x:c>
      <x:c r="K14" s="54" t="n">
        <x:v>46216</x:v>
      </x:c>
    </x:row>
    <x:row r="15">
      <x:c r="A15" s="27" t="str">
        <x:v>Cash-Wa Distributing</x:v>
      </x:c>
      <x:c r="B15" s="27" t="str">
        <x:v>Broadline</x:v>
      </x:c>
      <x:c r="C15" s="27" t="str">
        <x:v>IFDA</x:v>
      </x:c>
      <x:c r="D15" s="27" t="str">
        <x:v>https://web.cashwa.com</x:v>
      </x:c>
      <x:c r="E15" s="27" t="str">
        <x:v>https://portal2.ftnirdc.com/en/cswa</x:v>
      </x:c>
      <x:c r="F15" s="27" t="str">
        <x:v>Verified direct customer portal</x:v>
      </x:c>
      <x:c r="G15" s="27" t="str"/>
      <x:c r="H15" s="27" t="str">
        <x:v>No public template found</x:v>
      </x:c>
      <x:c r="I15" s="27" t="str">
        <x:v>https://web.cashwa.com/customer-portal</x:v>
      </x:c>
      <x:c r="J15" s="27" t="str">
        <x:v>Portal supports online orders, order guides and purchase-history reports.</x:v>
      </x:c>
      <x:c r="K15" s="54" t="n">
        <x:v>46216</x:v>
      </x:c>
    </x:row>
    <x:row r="16">
      <x:c r="A16" s="27" t="str">
        <x:v>The Chefs' Warehouse</x:v>
      </x:c>
      <x:c r="B16" s="27" t="str">
        <x:v>Specialty broadline</x:v>
      </x:c>
      <x:c r="C16" s="27" t="str">
        <x:v>IFDA</x:v>
      </x:c>
      <x:c r="D16" s="27" t="str">
        <x:v>https://www.chefswarehouse.com</x:v>
      </x:c>
      <x:c r="E16" s="27" t="str">
        <x:v>https://www.chefswarehouse.com/login/</x:v>
      </x:c>
      <x:c r="F16" s="27" t="str">
        <x:v>Verified direct customer portal</x:v>
      </x:c>
      <x:c r="G16" s="27" t="str"/>
      <x:c r="H16" s="27" t="str">
        <x:v>No public template found</x:v>
      </x:c>
      <x:c r="I16" s="27" t="str">
        <x:v>https://www.chefswarehouse.com/login/</x:v>
      </x:c>
      <x:c r="J16" s="27" t="str">
        <x:v>Portal/app supports order guides and online ordering.</x:v>
      </x:c>
      <x:c r="K16" s="54" t="n">
        <x:v>46216</x:v>
      </x:c>
    </x:row>
    <x:row r="17">
      <x:c r="A17" s="27" t="str">
        <x:v>Cheney Brothers, Inc.</x:v>
      </x:c>
      <x:c r="B17" s="27" t="str">
        <x:v>Broadline</x:v>
      </x:c>
      <x:c r="C17" s="27" t="str">
        <x:v>IFDA</x:v>
      </x:c>
      <x:c r="D17" s="27" t="str">
        <x:v>https://www.cheneybrothers.com</x:v>
      </x:c>
      <x:c r="E17" s="27" t="str">
        <x:v>https://www.cheneycentral.com/</x:v>
      </x:c>
      <x:c r="F17" s="27" t="str">
        <x:v>Verified direct customer portal (Cheney Central)</x:v>
      </x:c>
      <x:c r="G17" s="27" t="str">
        <x:v>https://www.cheneybrothers.com/wp-content/uploads/2021/01/CBI_Sales-Brochure_2021-REV-WEB.pdf</x:v>
      </x:c>
      <x:c r="H17" s="27" t="str">
        <x:v>Official guide mentions order-guide data import; no blank template located</x:v>
      </x:c>
      <x:c r="I17" s="27" t="str">
        <x:v>https://www.cheneybrothers.com/services/cheney-central/</x:v>
      </x:c>
      <x:c r="J17" s="27" t="str">
        <x:v>Cheney Central supports order entry and custom order guides.</x:v>
      </x:c>
      <x:c r="K17" s="54" t="n">
        <x:v>46216</x:v>
      </x:c>
    </x:row>
    <x:row r="18">
      <x:c r="A18" s="27" t="str">
        <x:v>Chick-fil-A Supply</x:v>
      </x:c>
      <x:c r="B18" s="27" t="str">
        <x:v>Closed-system / chain supply</x:v>
      </x:c>
      <x:c r="C18" s="27" t="str">
        <x:v>IFDA</x:v>
      </x:c>
      <x:c r="D18" s="27" t="str">
        <x:v>https://www.cfa-supply.com</x:v>
      </x:c>
      <x:c r="E18" s="27" t="str"/>
      <x:c r="F18" s="27" t="str">
        <x:v>Closed or franchise/system-specific ordering</x:v>
      </x:c>
      <x:c r="G18" s="27" t="str"/>
      <x:c r="H18" s="27" t="str">
        <x:v>No public template located in this pass</x:v>
      </x:c>
      <x:c r="I18" s="27" t="str">
        <x:v>https://ifdaonline.org/distributor-members/</x:v>
      </x:c>
      <x:c r="J18" s="27" t="str">
        <x:v>Direct website verified from directory/source; customer ordering route requires additional account-level or site-specific verification.</x:v>
      </x:c>
      <x:c r="K18" s="54" t="n">
        <x:v>46216</x:v>
      </x:c>
    </x:row>
    <x:row r="19">
      <x:c r="A19" s="27" t="str">
        <x:v>Christ Panos Foods Corporation</x:v>
      </x:c>
      <x:c r="B19" s="27" t="str">
        <x:v>Broadline / specialty</x:v>
      </x:c>
      <x:c r="C19" s="27" t="str">
        <x:v>IFDA</x:v>
      </x:c>
      <x:c r="D19" s="27" t="str">
        <x:v>https://www.panosfoods.com</x:v>
      </x:c>
      <x:c r="E19" s="27" t="str"/>
      <x:c r="F19" s="27" t="str">
        <x:v>Ordering portal not publicly verified</x:v>
      </x:c>
      <x:c r="G19" s="27" t="str"/>
      <x:c r="H19" s="27" t="str">
        <x:v>No public template located in this pass</x:v>
      </x:c>
      <x:c r="I19" s="27" t="str">
        <x:v>https://ifdaonline.org/distributor-members/</x:v>
      </x:c>
      <x:c r="J19" s="27" t="str">
        <x:v>Direct website verified from directory/source; customer ordering route requires additional account-level or site-specific verification.</x:v>
      </x:c>
      <x:c r="K19" s="54" t="n">
        <x:v>46216</x:v>
      </x:c>
    </x:row>
    <x:row r="20">
      <x:c r="A20" s="27" t="str">
        <x:v>City Line Distributors</x:v>
      </x:c>
      <x:c r="B20" s="27" t="str">
        <x:v>Broadline</x:v>
      </x:c>
      <x:c r="C20" s="27" t="str">
        <x:v>IFDA</x:v>
      </x:c>
      <x:c r="D20" s="27" t="str">
        <x:v>https://www.citylinefoods.com</x:v>
      </x:c>
      <x:c r="E20" s="27" t="str"/>
      <x:c r="F20" s="27" t="str">
        <x:v>Ordering portal not publicly verified</x:v>
      </x:c>
      <x:c r="G20" s="27" t="str"/>
      <x:c r="H20" s="27" t="str">
        <x:v>No public template located in this pass</x:v>
      </x:c>
      <x:c r="I20" s="27" t="str">
        <x:v>https://ifdaonline.org/distributor-members/</x:v>
      </x:c>
      <x:c r="J20" s="27" t="str">
        <x:v>Direct website verified from directory/source; customer ordering route requires additional account-level or site-specific verification.</x:v>
      </x:c>
      <x:c r="K20" s="54" t="n">
        <x:v>46216</x:v>
      </x:c>
    </x:row>
    <x:row r="21">
      <x:c r="A21" s="27" t="str">
        <x:v>Cotati Food Service</x:v>
      </x:c>
      <x:c r="B21" s="27" t="str">
        <x:v>Broadline</x:v>
      </x:c>
      <x:c r="C21" s="27" t="str">
        <x:v>IFDA</x:v>
      </x:c>
      <x:c r="D21" s="27" t="str">
        <x:v>https://www.cotatifoodservice.com</x:v>
      </x:c>
      <x:c r="E21" s="27" t="str"/>
      <x:c r="F21" s="27" t="str">
        <x:v>Ordering portal not publicly verified</x:v>
      </x:c>
      <x:c r="G21" s="27" t="str"/>
      <x:c r="H21" s="27" t="str">
        <x:v>No public template located in this pass</x:v>
      </x:c>
      <x:c r="I21" s="27" t="str">
        <x:v>https://ifdaonline.org/distributor-members/</x:v>
      </x:c>
      <x:c r="J21" s="27" t="str">
        <x:v>Direct website verified from directory/source; customer ordering route requires additional account-level or site-specific verification.</x:v>
      </x:c>
      <x:c r="K21" s="54" t="n">
        <x:v>46216</x:v>
      </x:c>
    </x:row>
    <x:row r="22">
      <x:c r="A22" s="27" t="str">
        <x:v>CRS OneSource</x:v>
      </x:c>
      <x:c r="B22" s="27" t="str">
        <x:v>Broadline</x:v>
      </x:c>
      <x:c r="C22" s="27" t="str">
        <x:v>IFDA</x:v>
      </x:c>
      <x:c r="D22" s="27" t="str">
        <x:v>https://www.crsonesource.com</x:v>
      </x:c>
      <x:c r="E22" s="27" t="str"/>
      <x:c r="F22" s="27" t="str">
        <x:v>Ordering portal not publicly verified</x:v>
      </x:c>
      <x:c r="G22" s="27" t="str"/>
      <x:c r="H22" s="27" t="str">
        <x:v>No public template located in this pass</x:v>
      </x:c>
      <x:c r="I22" s="27" t="str">
        <x:v>https://ifdaonline.org/distributor-members/</x:v>
      </x:c>
      <x:c r="J22" s="27" t="str">
        <x:v>Direct website verified from directory/source; customer ordering route requires additional account-level or site-specific verification.</x:v>
      </x:c>
      <x:c r="K22" s="54" t="n">
        <x:v>46216</x:v>
      </x:c>
    </x:row>
    <x:row r="23">
      <x:c r="A23" s="27" t="str">
        <x:v>Curtze Food Service</x:v>
      </x:c>
      <x:c r="B23" s="27" t="str">
        <x:v>Broadline</x:v>
      </x:c>
      <x:c r="C23" s="27" t="str">
        <x:v>IFDA</x:v>
      </x:c>
      <x:c r="D23" s="27" t="str">
        <x:v>https://www.curtze.com</x:v>
      </x:c>
      <x:c r="E23" s="27" t="str"/>
      <x:c r="F23" s="27" t="str">
        <x:v>Ordering portal not publicly verified</x:v>
      </x:c>
      <x:c r="G23" s="27" t="str"/>
      <x:c r="H23" s="27" t="str">
        <x:v>No public template located in this pass</x:v>
      </x:c>
      <x:c r="I23" s="27" t="str">
        <x:v>https://ifdaonline.org/distributor-members/</x:v>
      </x:c>
      <x:c r="J23" s="27" t="str">
        <x:v>Direct website verified from directory/source; customer ordering route requires additional account-level or site-specific verification.</x:v>
      </x:c>
      <x:c r="K23" s="54" t="n">
        <x:v>46216</x:v>
      </x:c>
    </x:row>
    <x:row r="24">
      <x:c r="A24" s="27" t="str">
        <x:v>Dawn Food Products</x:v>
      </x:c>
      <x:c r="B24" s="27" t="str">
        <x:v>Bakery ingredients</x:v>
      </x:c>
      <x:c r="C24" s="27" t="str">
        <x:v>IFDA</x:v>
      </x:c>
      <x:c r="D24" s="27" t="str">
        <x:v>https://www.dawnfoods.com</x:v>
      </x:c>
      <x:c r="E24" s="27" t="str"/>
      <x:c r="F24" s="27" t="str">
        <x:v>Ordering portal not publicly verified</x:v>
      </x:c>
      <x:c r="G24" s="27" t="str"/>
      <x:c r="H24" s="27" t="str">
        <x:v>No public template located in this pass</x:v>
      </x:c>
      <x:c r="I24" s="27" t="str">
        <x:v>https://ifdaonline.org/distributor-members/</x:v>
      </x:c>
      <x:c r="J24" s="27" t="str">
        <x:v>Direct website verified from directory/source; customer ordering route requires additional account-level or site-specific verification.</x:v>
      </x:c>
      <x:c r="K24" s="54" t="n">
        <x:v>46216</x:v>
      </x:c>
    </x:row>
    <x:row r="25">
      <x:c r="A25" s="27" t="str">
        <x:v>DBH Distributing / Hunt Brothers Pizza</x:v>
      </x:c>
      <x:c r="B25" s="27" t="str">
        <x:v>Closed-system / pizza program</x:v>
      </x:c>
      <x:c r="C25" s="27" t="str">
        <x:v>IFDA</x:v>
      </x:c>
      <x:c r="D25" s="27" t="str">
        <x:v>https://www.huntbrotherspizza.com</x:v>
      </x:c>
      <x:c r="E25" s="27" t="str"/>
      <x:c r="F25" s="27" t="str">
        <x:v>Closed or franchise/system-specific ordering</x:v>
      </x:c>
      <x:c r="G25" s="27" t="str"/>
      <x:c r="H25" s="27" t="str">
        <x:v>No public template located in this pass</x:v>
      </x:c>
      <x:c r="I25" s="27" t="str">
        <x:v>https://ifdaonline.org/distributor-members/</x:v>
      </x:c>
      <x:c r="J25" s="27" t="str">
        <x:v>Direct website verified from directory/source; customer ordering route requires additional account-level or site-specific verification.</x:v>
      </x:c>
      <x:c r="K25" s="54" t="n">
        <x:v>46216</x:v>
      </x:c>
    </x:row>
    <x:row r="26">
      <x:c r="A26" s="27" t="str">
        <x:v>Dennis Food Service</x:v>
      </x:c>
      <x:c r="B26" s="27" t="str">
        <x:v>Broadline</x:v>
      </x:c>
      <x:c r="C26" s="27" t="str">
        <x:v>IFDA</x:v>
      </x:c>
      <x:c r="D26" s="27" t="str">
        <x:v>https://dennisfoodservice.com</x:v>
      </x:c>
      <x:c r="E26" s="27" t="str"/>
      <x:c r="F26" s="27" t="str">
        <x:v>Ordering portal not publicly verified</x:v>
      </x:c>
      <x:c r="G26" s="27" t="str"/>
      <x:c r="H26" s="27" t="str">
        <x:v>No public template located in this pass</x:v>
      </x:c>
      <x:c r="I26" s="27" t="str">
        <x:v>https://ifdaonline.org/distributor-members/</x:v>
      </x:c>
      <x:c r="J26" s="27" t="str">
        <x:v>Direct website verified from directory/source; customer ordering route requires additional account-level or site-specific verification.</x:v>
      </x:c>
      <x:c r="K26" s="54" t="n">
        <x:v>46216</x:v>
      </x:c>
    </x:row>
    <x:row r="27">
      <x:c r="A27" s="27" t="str">
        <x:v>Diaz Wholesale &amp; Manufacturing</x:v>
      </x:c>
      <x:c r="B27" s="27" t="str">
        <x:v>Hispanic / specialty broadline</x:v>
      </x:c>
      <x:c r="C27" s="27" t="str">
        <x:v>IFDA</x:v>
      </x:c>
      <x:c r="D27" s="27" t="str">
        <x:v>https://www.diazfoods.com</x:v>
      </x:c>
      <x:c r="E27" s="27" t="str"/>
      <x:c r="F27" s="27" t="str">
        <x:v>Ordering portal not publicly verified</x:v>
      </x:c>
      <x:c r="G27" s="27" t="str"/>
      <x:c r="H27" s="27" t="str">
        <x:v>No public template located in this pass</x:v>
      </x:c>
      <x:c r="I27" s="27" t="str">
        <x:v>https://ifdaonline.org/distributor-members/</x:v>
      </x:c>
      <x:c r="J27" s="27" t="str">
        <x:v>Direct website verified from directory/source; customer ordering route requires additional account-level or site-specific verification.</x:v>
      </x:c>
      <x:c r="K27" s="54" t="n">
        <x:v>46216</x:v>
      </x:c>
    </x:row>
    <x:row r="28">
      <x:c r="A28" s="27" t="str">
        <x:v>DiCarlo Distributors, Inc.</x:v>
      </x:c>
      <x:c r="B28" s="27" t="str">
        <x:v>Italian / broadline</x:v>
      </x:c>
      <x:c r="C28" s="27" t="str">
        <x:v>IFDA</x:v>
      </x:c>
      <x:c r="D28" s="27" t="str">
        <x:v>https://www.dicarlofood.com</x:v>
      </x:c>
      <x:c r="E28" s="27" t="str"/>
      <x:c r="F28" s="27" t="str">
        <x:v>Ordering portal not publicly verified</x:v>
      </x:c>
      <x:c r="G28" s="27" t="str"/>
      <x:c r="H28" s="27" t="str">
        <x:v>No public template located in this pass</x:v>
      </x:c>
      <x:c r="I28" s="27" t="str">
        <x:v>https://ifdaonline.org/distributor-members/</x:v>
      </x:c>
      <x:c r="J28" s="27" t="str">
        <x:v>Direct website verified from directory/source; customer ordering route requires additional account-level or site-specific verification.</x:v>
      </x:c>
      <x:c r="K28" s="54" t="n">
        <x:v>46216</x:v>
      </x:c>
    </x:row>
    <x:row r="29">
      <x:c r="A29" s="27" t="str">
        <x:v>Distribution Market Advantage</x:v>
      </x:c>
      <x:c r="B29" s="27" t="str">
        <x:v>Distributor network</x:v>
      </x:c>
      <x:c r="C29" s="27" t="str">
        <x:v>IFDA</x:v>
      </x:c>
      <x:c r="D29" s="27" t="str">
        <x:v>https://dmadelivers.com</x:v>
      </x:c>
      <x:c r="E29" s="27" t="str"/>
      <x:c r="F29" s="27" t="str">
        <x:v>Network/cooperative — not an operator ordering portal</x:v>
      </x:c>
      <x:c r="G29" s="27" t="str"/>
      <x:c r="H29" s="27" t="str">
        <x:v>No public template located in this pass</x:v>
      </x:c>
      <x:c r="I29" s="27" t="str">
        <x:v>https://ifdaonline.org/distributor-members/</x:v>
      </x:c>
      <x:c r="J29" s="27" t="str">
        <x:v>Direct website verified from directory/source; customer ordering route requires additional account-level or site-specific verification.</x:v>
      </x:c>
      <x:c r="K29" s="54" t="n">
        <x:v>46216</x:v>
      </x:c>
    </x:row>
    <x:row r="30">
      <x:c r="A30" s="27" t="str">
        <x:v>Dot Foods, Inc.</x:v>
      </x:c>
      <x:c r="B30" s="27" t="str">
        <x:v>Redistributor</x:v>
      </x:c>
      <x:c r="C30" s="27" t="str">
        <x:v>IFDA</x:v>
      </x:c>
      <x:c r="D30" s="27" t="str">
        <x:v>https://www.dotfoods.com</x:v>
      </x:c>
      <x:c r="E30" s="27" t="str"/>
      <x:c r="F30" s="27" t="str">
        <x:v>Ordering portal not publicly verified</x:v>
      </x:c>
      <x:c r="G30" s="27" t="str"/>
      <x:c r="H30" s="27" t="str">
        <x:v>No public template located in this pass</x:v>
      </x:c>
      <x:c r="I30" s="27" t="str">
        <x:v>https://ifdaonline.org/distributor-members/</x:v>
      </x:c>
      <x:c r="J30" s="27" t="str">
        <x:v>Direct website verified from directory/source; customer ordering route requires additional account-level or site-specific verification.</x:v>
      </x:c>
      <x:c r="K30" s="54" t="n">
        <x:v>46216</x:v>
      </x:c>
    </x:row>
    <x:row r="31">
      <x:c r="A31" s="27" t="str">
        <x:v>Driscoll Foods</x:v>
      </x:c>
      <x:c r="B31" s="27" t="str">
        <x:v>Broadline</x:v>
      </x:c>
      <x:c r="C31" s="27" t="str">
        <x:v>IFDA</x:v>
      </x:c>
      <x:c r="D31" s="27" t="str">
        <x:v>https://www.driscollfoods.com</x:v>
      </x:c>
      <x:c r="E31" s="27" t="str"/>
      <x:c r="F31" s="27" t="str">
        <x:v>Ordering portal not publicly verified</x:v>
      </x:c>
      <x:c r="G31" s="27" t="str"/>
      <x:c r="H31" s="27" t="str">
        <x:v>No public template located in this pass</x:v>
      </x:c>
      <x:c r="I31" s="27" t="str">
        <x:v>https://ifdaonline.org/distributor-members/</x:v>
      </x:c>
      <x:c r="J31" s="27" t="str">
        <x:v>Direct website verified from directory/source; customer ordering route requires additional account-level or site-specific verification.</x:v>
      </x:c>
      <x:c r="K31" s="54" t="n">
        <x:v>46216</x:v>
      </x:c>
    </x:row>
    <x:row r="32">
      <x:c r="A32" s="27" t="str">
        <x:v>Euclid Fish Company</x:v>
      </x:c>
      <x:c r="B32" s="27" t="str">
        <x:v>Seafood / specialty</x:v>
      </x:c>
      <x:c r="C32" s="27" t="str">
        <x:v>IFDA</x:v>
      </x:c>
      <x:c r="D32" s="27" t="str">
        <x:v>https://www.euclidfish.com</x:v>
      </x:c>
      <x:c r="E32" s="27" t="str"/>
      <x:c r="F32" s="27" t="str">
        <x:v>Ordering portal not publicly verified</x:v>
      </x:c>
      <x:c r="G32" s="27" t="str"/>
      <x:c r="H32" s="27" t="str">
        <x:v>No public template located in this pass</x:v>
      </x:c>
      <x:c r="I32" s="27" t="str">
        <x:v>https://ifdaonline.org/distributor-members/</x:v>
      </x:c>
      <x:c r="J32" s="27" t="str">
        <x:v>Direct website verified from directory/source; customer ordering route requires additional account-level or site-specific verification.</x:v>
      </x:c>
      <x:c r="K32" s="54" t="n">
        <x:v>46216</x:v>
      </x:c>
    </x:row>
    <x:row r="33">
      <x:c r="A33" s="27" t="str">
        <x:v>EVCO Wholesale Food Corp.</x:v>
      </x:c>
      <x:c r="B33" s="27" t="str">
        <x:v>Broadline</x:v>
      </x:c>
      <x:c r="C33" s="27" t="str">
        <x:v>IFDA</x:v>
      </x:c>
      <x:c r="D33" s="27" t="str">
        <x:v>https://www.evcofoods.com</x:v>
      </x:c>
      <x:c r="E33" s="27" t="str"/>
      <x:c r="F33" s="27" t="str">
        <x:v>Ordering portal not publicly verified</x:v>
      </x:c>
      <x:c r="G33" s="27" t="str"/>
      <x:c r="H33" s="27" t="str">
        <x:v>No public template located in this pass</x:v>
      </x:c>
      <x:c r="I33" s="27" t="str">
        <x:v>https://ifdaonline.org/distributor-members/</x:v>
      </x:c>
      <x:c r="J33" s="27" t="str">
        <x:v>Direct website verified from directory/source; customer ordering route requires additional account-level or site-specific verification.</x:v>
      </x:c>
      <x:c r="K33" s="54" t="n">
        <x:v>46216</x:v>
      </x:c>
    </x:row>
    <x:row r="34">
      <x:c r="A34" s="27" t="str">
        <x:v>F &amp; A Food Sales, Inc.</x:v>
      </x:c>
      <x:c r="B34" s="27" t="str">
        <x:v>Specialty / wholesale</x:v>
      </x:c>
      <x:c r="C34" s="27" t="str">
        <x:v>IFDA</x:v>
      </x:c>
      <x:c r="D34" s="27" t="str">
        <x:v>https://www.fafoodsales.com</x:v>
      </x:c>
      <x:c r="E34" s="27" t="str"/>
      <x:c r="F34" s="27" t="str">
        <x:v>Ordering portal not publicly verified</x:v>
      </x:c>
      <x:c r="G34" s="27" t="str"/>
      <x:c r="H34" s="27" t="str">
        <x:v>No public template located in this pass</x:v>
      </x:c>
      <x:c r="I34" s="27" t="str">
        <x:v>https://ifdaonline.org/distributor-members/</x:v>
      </x:c>
      <x:c r="J34" s="27" t="str">
        <x:v>Direct website verified from directory/source; customer ordering route requires additional account-level or site-specific verification.</x:v>
      </x:c>
      <x:c r="K34" s="54" t="n">
        <x:v>46216</x:v>
      </x:c>
    </x:row>
    <x:row r="35">
      <x:c r="A35" s="27" t="str">
        <x:v>Federated Foodservice</x:v>
      </x:c>
      <x:c r="B35" s="27" t="str">
        <x:v>Distributor network</x:v>
      </x:c>
      <x:c r="C35" s="27" t="str">
        <x:v>IFDA</x:v>
      </x:c>
      <x:c r="D35" s="27" t="str">
        <x:v>https://www.federatedfoodservice.com</x:v>
      </x:c>
      <x:c r="E35" s="27" t="str"/>
      <x:c r="F35" s="27" t="str">
        <x:v>Network/cooperative — not an operator ordering portal</x:v>
      </x:c>
      <x:c r="G35" s="27" t="str"/>
      <x:c r="H35" s="27" t="str">
        <x:v>No public template located in this pass</x:v>
      </x:c>
      <x:c r="I35" s="27" t="str">
        <x:v>https://ifdaonline.org/distributor-members/</x:v>
      </x:c>
      <x:c r="J35" s="27" t="str">
        <x:v>Direct website verified from directory/source; customer ordering route requires additional account-level or site-specific verification.</x:v>
      </x:c>
      <x:c r="K35" s="54" t="n">
        <x:v>46216</x:v>
      </x:c>
    </x:row>
    <x:row r="36">
      <x:c r="A36" s="27" t="str">
        <x:v>Feeser's, Inc.</x:v>
      </x:c>
      <x:c r="B36" s="27" t="str">
        <x:v>Broadline</x:v>
      </x:c>
      <x:c r="C36" s="27" t="str">
        <x:v>IFDA</x:v>
      </x:c>
      <x:c r="D36" s="27" t="str">
        <x:v>https://www.feesers.com</x:v>
      </x:c>
      <x:c r="E36" s="27" t="str"/>
      <x:c r="F36" s="27" t="str">
        <x:v>Ordering portal not publicly verified</x:v>
      </x:c>
      <x:c r="G36" s="27" t="str"/>
      <x:c r="H36" s="27" t="str">
        <x:v>No public template located in this pass</x:v>
      </x:c>
      <x:c r="I36" s="27" t="str">
        <x:v>https://ifdaonline.org/distributor-members/</x:v>
      </x:c>
      <x:c r="J36" s="27" t="str">
        <x:v>Direct website verified from directory/source; customer ordering route requires additional account-level or site-specific verification.</x:v>
      </x:c>
      <x:c r="K36" s="54" t="n">
        <x:v>46216</x:v>
      </x:c>
    </x:row>
    <x:row r="37">
      <x:c r="A37" s="27" t="str">
        <x:v>Food Supply, Inc.</x:v>
      </x:c>
      <x:c r="B37" s="27" t="str">
        <x:v>Broadline / specialty</x:v>
      </x:c>
      <x:c r="C37" s="27" t="str">
        <x:v>IFDA</x:v>
      </x:c>
      <x:c r="D37" s="27" t="str">
        <x:v>https://www.foodsupply.com</x:v>
      </x:c>
      <x:c r="E37" s="27" t="str"/>
      <x:c r="F37" s="27" t="str">
        <x:v>Ordering portal not publicly verified</x:v>
      </x:c>
      <x:c r="G37" s="27" t="str"/>
      <x:c r="H37" s="27" t="str">
        <x:v>No public template located in this pass</x:v>
      </x:c>
      <x:c r="I37" s="27" t="str">
        <x:v>https://ifdaonline.org/distributor-members/</x:v>
      </x:c>
      <x:c r="J37" s="27" t="str">
        <x:v>Direct website verified from directory/source; customer ordering route requires additional account-level or site-specific verification.</x:v>
      </x:c>
      <x:c r="K37" s="54" t="n">
        <x:v>46216</x:v>
      </x:c>
    </x:row>
    <x:row r="38">
      <x:c r="A38" s="27" t="str">
        <x:v>Foodist</x:v>
      </x:c>
      <x:c r="B38" s="27" t="str">
        <x:v>Online / specialty</x:v>
      </x:c>
      <x:c r="C38" s="27" t="str">
        <x:v>IFDA</x:v>
      </x:c>
      <x:c r="D38" s="27" t="str">
        <x:v>https://efoodist.com</x:v>
      </x:c>
      <x:c r="E38" s="27" t="str"/>
      <x:c r="F38" s="27" t="str">
        <x:v>Ordering portal not publicly verified</x:v>
      </x:c>
      <x:c r="G38" s="27" t="str"/>
      <x:c r="H38" s="27" t="str">
        <x:v>No public template located in this pass</x:v>
      </x:c>
      <x:c r="I38" s="27" t="str">
        <x:v>https://ifdaonline.org/distributor-members/</x:v>
      </x:c>
      <x:c r="J38" s="27" t="str">
        <x:v>Direct website verified from directory/source; customer ordering route requires additional account-level or site-specific verification.</x:v>
      </x:c>
      <x:c r="K38" s="54" t="n">
        <x:v>46216</x:v>
      </x:c>
    </x:row>
    <x:row r="39">
      <x:c r="A39" s="27" t="str">
        <x:v>FoodPRO</x:v>
      </x:c>
      <x:c r="B39" s="27" t="str">
        <x:v>Broadline</x:v>
      </x:c>
      <x:c r="C39" s="27" t="str">
        <x:v>IFDA</x:v>
      </x:c>
      <x:c r="D39" s="27" t="str">
        <x:v>https://www.myfoodpro.com</x:v>
      </x:c>
      <x:c r="E39" s="27" t="str"/>
      <x:c r="F39" s="27" t="str">
        <x:v>Ordering portal not publicly verified</x:v>
      </x:c>
      <x:c r="G39" s="27" t="str"/>
      <x:c r="H39" s="27" t="str">
        <x:v>No public template located in this pass</x:v>
      </x:c>
      <x:c r="I39" s="27" t="str">
        <x:v>https://ifdaonline.org/distributor-members/</x:v>
      </x:c>
      <x:c r="J39" s="27" t="str">
        <x:v>Direct website verified from directory/source; customer ordering route requires additional account-level or site-specific verification.</x:v>
      </x:c>
      <x:c r="K39" s="54" t="n">
        <x:v>46216</x:v>
      </x:c>
    </x:row>
    <x:row r="40">
      <x:c r="A40" s="27" t="str">
        <x:v>Frosty Acres Brands</x:v>
      </x:c>
      <x:c r="B40" s="27" t="str">
        <x:v>Distributor cooperative</x:v>
      </x:c>
      <x:c r="C40" s="27" t="str">
        <x:v>IFDA</x:v>
      </x:c>
      <x:c r="D40" s="27" t="str">
        <x:v>https://www.frostyacres.com</x:v>
      </x:c>
      <x:c r="E40" s="27" t="str"/>
      <x:c r="F40" s="27" t="str">
        <x:v>Network/cooperative — not an operator ordering portal</x:v>
      </x:c>
      <x:c r="G40" s="27" t="str"/>
      <x:c r="H40" s="27" t="str">
        <x:v>No public template located in this pass</x:v>
      </x:c>
      <x:c r="I40" s="27" t="str">
        <x:v>https://ifdaonline.org/distributor-members/</x:v>
      </x:c>
      <x:c r="J40" s="27" t="str">
        <x:v>Direct website verified from directory/source; customer ordering route requires additional account-level or site-specific verification.</x:v>
      </x:c>
      <x:c r="K40" s="54" t="n">
        <x:v>46216</x:v>
      </x:c>
    </x:row>
    <x:row r="41">
      <x:c r="A41" s="27" t="str">
        <x:v>Fuchs Foodservice / Pizza Specialties</x:v>
      </x:c>
      <x:c r="B41" s="27" t="str">
        <x:v>Pizza / specialty</x:v>
      </x:c>
      <x:c r="C41" s="27" t="str">
        <x:v>IFDA</x:v>
      </x:c>
      <x:c r="D41" s="27" t="str">
        <x:v>https://pizzaspecialtiesinc.com</x:v>
      </x:c>
      <x:c r="E41" s="27" t="str"/>
      <x:c r="F41" s="27" t="str">
        <x:v>Ordering portal not publicly verified</x:v>
      </x:c>
      <x:c r="G41" s="27" t="str"/>
      <x:c r="H41" s="27" t="str">
        <x:v>No public template located in this pass</x:v>
      </x:c>
      <x:c r="I41" s="27" t="str">
        <x:v>https://ifdaonline.org/distributor-members/</x:v>
      </x:c>
      <x:c r="J41" s="27" t="str">
        <x:v>Direct website verified from directory/source; customer ordering route requires additional account-level or site-specific verification.</x:v>
      </x:c>
      <x:c r="K41" s="54" t="n">
        <x:v>46216</x:v>
      </x:c>
    </x:row>
    <x:row r="42">
      <x:c r="A42" s="27" t="str">
        <x:v>G &amp; C Foods</x:v>
      </x:c>
      <x:c r="B42" s="27" t="str">
        <x:v>Redistributor / specialty</x:v>
      </x:c>
      <x:c r="C42" s="27" t="str">
        <x:v>IFDA</x:v>
      </x:c>
      <x:c r="D42" s="27" t="str">
        <x:v>https://gcfoods.com</x:v>
      </x:c>
      <x:c r="E42" s="27" t="str"/>
      <x:c r="F42" s="27" t="str">
        <x:v>Ordering portal not publicly verified</x:v>
      </x:c>
      <x:c r="G42" s="27" t="str"/>
      <x:c r="H42" s="27" t="str">
        <x:v>No public template located in this pass</x:v>
      </x:c>
      <x:c r="I42" s="27" t="str">
        <x:v>https://ifdaonline.org/distributor-members/</x:v>
      </x:c>
      <x:c r="J42" s="27" t="str">
        <x:v>Direct website verified from directory/source; customer ordering route requires additional account-level or site-specific verification.</x:v>
      </x:c>
      <x:c r="K42" s="54" t="n">
        <x:v>46216</x:v>
      </x:c>
    </x:row>
    <x:row r="43">
      <x:c r="A43" s="27" t="str">
        <x:v>Ginsberg's Foods</x:v>
      </x:c>
      <x:c r="B43" s="27" t="str">
        <x:v>Broadline</x:v>
      </x:c>
      <x:c r="C43" s="27" t="str">
        <x:v>IFDA</x:v>
      </x:c>
      <x:c r="D43" s="27" t="str">
        <x:v>https://www.ginsbergs.com</x:v>
      </x:c>
      <x:c r="E43" s="27" t="str">
        <x:v>https://ginsbergsorder.com/</x:v>
      </x:c>
      <x:c r="F43" s="27" t="str">
        <x:v>Verified direct customer portal</x:v>
      </x:c>
      <x:c r="G43" s="27" t="str"/>
      <x:c r="H43" s="27" t="str">
        <x:v>No public template found</x:v>
      </x:c>
      <x:c r="I43" s="27" t="str">
        <x:v>https://ginsbergs.com/online-ordering/</x:v>
      </x:c>
      <x:c r="J43" s="27" t="str">
        <x:v>Ordering app/portal supports catalog search and ordering-guide management.</x:v>
      </x:c>
      <x:c r="K43" s="54" t="n">
        <x:v>46216</x:v>
      </x:c>
    </x:row>
    <x:row r="44">
      <x:c r="A44" s="27" t="str">
        <x:v>Golbon</x:v>
      </x:c>
      <x:c r="B44" s="27" t="str">
        <x:v>Buying group / distributor network</x:v>
      </x:c>
      <x:c r="C44" s="27" t="str">
        <x:v>IFDA</x:v>
      </x:c>
      <x:c r="D44" s="27" t="str">
        <x:v>https://www.golbon.com</x:v>
      </x:c>
      <x:c r="E44" s="27" t="str"/>
      <x:c r="F44" s="27" t="str">
        <x:v>Network/cooperative — not an operator ordering portal</x:v>
      </x:c>
      <x:c r="G44" s="27" t="str"/>
      <x:c r="H44" s="27" t="str">
        <x:v>No public template located in this pass</x:v>
      </x:c>
      <x:c r="I44" s="27" t="str">
        <x:v>https://ifdaonline.org/distributor-members/</x:v>
      </x:c>
      <x:c r="J44" s="27" t="str">
        <x:v>Direct website verified from directory/source; customer ordering route requires additional account-level or site-specific verification.</x:v>
      </x:c>
      <x:c r="K44" s="54" t="n">
        <x:v>46216</x:v>
      </x:c>
    </x:row>
    <x:row r="45">
      <x:c r="A45" s="27" t="str">
        <x:v>Gold Star Foods</x:v>
      </x:c>
      <x:c r="B45" s="27" t="str">
        <x:v>K-12 / institutional</x:v>
      </x:c>
      <x:c r="C45" s="27" t="str">
        <x:v>IFDA</x:v>
      </x:c>
      <x:c r="D45" s="27" t="str">
        <x:v>https://goldstarfoods.com</x:v>
      </x:c>
      <x:c r="E45" s="27" t="str"/>
      <x:c r="F45" s="27" t="str">
        <x:v>Ordering portal not publicly verified</x:v>
      </x:c>
      <x:c r="G45" s="27" t="str"/>
      <x:c r="H45" s="27" t="str">
        <x:v>No public template located in this pass</x:v>
      </x:c>
      <x:c r="I45" s="27" t="str">
        <x:v>https://ifdaonline.org/distributor-members/</x:v>
      </x:c>
      <x:c r="J45" s="27" t="str">
        <x:v>Direct website verified from directory/source; customer ordering route requires additional account-level or site-specific verification.</x:v>
      </x:c>
      <x:c r="K45" s="54" t="n">
        <x:v>46216</x:v>
      </x:c>
    </x:row>
    <x:row r="46">
      <x:c r="A46" s="27" t="str">
        <x:v>Good Source Solutions, Inc.</x:v>
      </x:c>
      <x:c r="B46" s="27" t="str">
        <x:v>Specialty / redistributor</x:v>
      </x:c>
      <x:c r="C46" s="27" t="str">
        <x:v>IFDA</x:v>
      </x:c>
      <x:c r="D46" s="27" t="str">
        <x:v>https://goodsource.com</x:v>
      </x:c>
      <x:c r="E46" s="27" t="str"/>
      <x:c r="F46" s="27" t="str">
        <x:v>Ordering portal not publicly verified</x:v>
      </x:c>
      <x:c r="G46" s="27" t="str"/>
      <x:c r="H46" s="27" t="str">
        <x:v>No public template located in this pass</x:v>
      </x:c>
      <x:c r="I46" s="27" t="str">
        <x:v>https://ifdaonline.org/distributor-members/</x:v>
      </x:c>
      <x:c r="J46" s="27" t="str">
        <x:v>Direct website verified from directory/source; customer ordering route requires additional account-level or site-specific verification.</x:v>
      </x:c>
      <x:c r="K46" s="54" t="n">
        <x:v>46216</x:v>
      </x:c>
    </x:row>
    <x:row r="47">
      <x:c r="A47" s="27" t="str">
        <x:v>Gordon Food Service</x:v>
      </x:c>
      <x:c r="B47" s="27" t="str">
        <x:v>National broadline</x:v>
      </x:c>
      <x:c r="C47" s="27" t="str">
        <x:v>IFDA</x:v>
      </x:c>
      <x:c r="D47" s="27" t="str">
        <x:v>https://www.gfs.com</x:v>
      </x:c>
      <x:c r="E47" s="27" t="str">
        <x:v>https://gfs.com/en-us/products-services/technology-solutions/gordon-ordering/</x:v>
      </x:c>
      <x:c r="F47" s="27" t="str">
        <x:v>Verified ordering platform landing page</x:v>
      </x:c>
      <x:c r="G47" s="27" t="str">
        <x:v>https://costguard.zendesk.com/hc/en-us/articles/235436388-Sysco-GFS-PFG-Reinhart-USF-and-Ben-E-Keith-Order-Guides-Importing-and-Exporting</x:v>
      </x:c>
      <x:c r="H47" s="27" t="str">
        <x:v>Sample CSV/order-guide format (third party)</x:v>
      </x:c>
      <x:c r="I47" s="27" t="str">
        <x:v>https://gfs.com/en-us/ideas/gordon-ordering-quick-start-guide/</x:v>
      </x:c>
      <x:c r="J47" s="27" t="str">
        <x:v>GFS customers can request an 832 order guide; no official public blank template found.</x:v>
      </x:c>
      <x:c r="K47" s="54" t="n">
        <x:v>46216</x:v>
      </x:c>
    </x:row>
    <x:row r="48">
      <x:c r="A48" s="27" t="str">
        <x:v>Graves Foods / Menu Maker Foods</x:v>
      </x:c>
      <x:c r="B48" s="27" t="str">
        <x:v>Broadline</x:v>
      </x:c>
      <x:c r="C48" s="27" t="str">
        <x:v>IFDA</x:v>
      </x:c>
      <x:c r="D48" s="27" t="str">
        <x:v>https://www.menumakerfoods.com</x:v>
      </x:c>
      <x:c r="E48" s="27" t="str"/>
      <x:c r="F48" s="27" t="str">
        <x:v>Ordering portal not publicly verified</x:v>
      </x:c>
      <x:c r="G48" s="27" t="str"/>
      <x:c r="H48" s="27" t="str">
        <x:v>No public template located in this pass</x:v>
      </x:c>
      <x:c r="I48" s="27" t="str">
        <x:v>https://ifdaonline.org/distributor-members/</x:v>
      </x:c>
      <x:c r="J48" s="27" t="str">
        <x:v>Direct website verified from directory/source; customer ordering route requires additional account-level or site-specific verification.</x:v>
      </x:c>
      <x:c r="K48" s="54" t="n">
        <x:v>46216</x:v>
      </x:c>
    </x:row>
    <x:row r="49">
      <x:c r="A49" s="27" t="str">
        <x:v>GS Foods Group</x:v>
      </x:c>
      <x:c r="B49" s="27" t="str">
        <x:v>K-12 / institutional</x:v>
      </x:c>
      <x:c r="C49" s="27" t="str">
        <x:v>IFDA</x:v>
      </x:c>
      <x:c r="D49" s="27" t="str">
        <x:v>https://gsfoodsgroup.com</x:v>
      </x:c>
      <x:c r="E49" s="27" t="str"/>
      <x:c r="F49" s="27" t="str">
        <x:v>Ordering portal not publicly verified</x:v>
      </x:c>
      <x:c r="G49" s="27" t="str"/>
      <x:c r="H49" s="27" t="str">
        <x:v>No public template located in this pass</x:v>
      </x:c>
      <x:c r="I49" s="27" t="str">
        <x:v>https://ifdaonline.org/distributor-members/</x:v>
      </x:c>
      <x:c r="J49" s="27" t="str">
        <x:v>Direct website verified from directory/source; customer ordering route requires additional account-level or site-specific verification.</x:v>
      </x:c>
      <x:c r="K49" s="54" t="n">
        <x:v>46216</x:v>
      </x:c>
    </x:row>
    <x:row r="50">
      <x:c r="A50" s="27" t="str">
        <x:v>Halsey Foodservice</x:v>
      </x:c>
      <x:c r="B50" s="27" t="str">
        <x:v>Broadline</x:v>
      </x:c>
      <x:c r="C50" s="27" t="str">
        <x:v>IFDA</x:v>
      </x:c>
      <x:c r="D50" s="27" t="str">
        <x:v>https://www.halseyfoodservice.com</x:v>
      </x:c>
      <x:c r="E50" s="27" t="str"/>
      <x:c r="F50" s="27" t="str">
        <x:v>Ordering portal not publicly verified</x:v>
      </x:c>
      <x:c r="G50" s="27" t="str"/>
      <x:c r="H50" s="27" t="str">
        <x:v>No public template located in this pass</x:v>
      </x:c>
      <x:c r="I50" s="27" t="str">
        <x:v>https://ifdaonline.org/distributor-members/</x:v>
      </x:c>
      <x:c r="J50" s="27" t="str">
        <x:v>Direct website verified from directory/source; customer ordering route requires additional account-level or site-specific verification.</x:v>
      </x:c>
      <x:c r="K50" s="54" t="n">
        <x:v>46216</x:v>
      </x:c>
    </x:row>
    <x:row r="51">
      <x:c r="A51" s="27" t="str">
        <x:v>Harbor Foods Group</x:v>
      </x:c>
      <x:c r="B51" s="27" t="str">
        <x:v>Broadline / convenience</x:v>
      </x:c>
      <x:c r="C51" s="27" t="str">
        <x:v>IFDA</x:v>
      </x:c>
      <x:c r="D51" s="27" t="str">
        <x:v>https://www.harborwholesale.com</x:v>
      </x:c>
      <x:c r="E51" s="27" t="str"/>
      <x:c r="F51" s="27" t="str">
        <x:v>Ordering portal not publicly verified</x:v>
      </x:c>
      <x:c r="G51" s="27" t="str"/>
      <x:c r="H51" s="27" t="str">
        <x:v>No public template located in this pass</x:v>
      </x:c>
      <x:c r="I51" s="27" t="str">
        <x:v>https://ifdaonline.org/distributor-members/</x:v>
      </x:c>
      <x:c r="J51" s="27" t="str">
        <x:v>Direct website verified from directory/source; customer ordering route requires additional account-level or site-specific verification.</x:v>
      </x:c>
      <x:c r="K51" s="54" t="n">
        <x:v>46216</x:v>
      </x:c>
    </x:row>
    <x:row r="52">
      <x:c r="A52" s="27" t="str">
        <x:v>Henry's Foods, Inc.</x:v>
      </x:c>
      <x:c r="B52" s="27" t="str">
        <x:v>Broadline</x:v>
      </x:c>
      <x:c r="C52" s="27" t="str">
        <x:v>IFDA</x:v>
      </x:c>
      <x:c r="D52" s="27" t="str">
        <x:v>https://www.henrysfoods.com</x:v>
      </x:c>
      <x:c r="E52" s="27" t="str"/>
      <x:c r="F52" s="27" t="str">
        <x:v>Ordering portal not publicly verified</x:v>
      </x:c>
      <x:c r="G52" s="27" t="str"/>
      <x:c r="H52" s="27" t="str">
        <x:v>No public template located in this pass</x:v>
      </x:c>
      <x:c r="I52" s="27" t="str">
        <x:v>https://ifdaonline.org/distributor-members/</x:v>
      </x:c>
      <x:c r="J52" s="27" t="str">
        <x:v>Direct website verified from directory/source; customer ordering route requires additional account-level or site-specific verification.</x:v>
      </x:c>
      <x:c r="K52" s="54" t="n">
        <x:v>46216</x:v>
      </x:c>
    </x:row>
    <x:row r="53">
      <x:c r="A53" s="27" t="str">
        <x:v>Holiday Wholesale, Inc.</x:v>
      </x:c>
      <x:c r="B53" s="27" t="str">
        <x:v>Convenience / foodservice</x:v>
      </x:c>
      <x:c r="C53" s="27" t="str">
        <x:v>IFDA</x:v>
      </x:c>
      <x:c r="D53" s="27" t="str">
        <x:v>https://www.holidaywholesale.com</x:v>
      </x:c>
      <x:c r="E53" s="27" t="str"/>
      <x:c r="F53" s="27" t="str">
        <x:v>Ordering portal not publicly verified</x:v>
      </x:c>
      <x:c r="G53" s="27" t="str"/>
      <x:c r="H53" s="27" t="str">
        <x:v>No public template located in this pass</x:v>
      </x:c>
      <x:c r="I53" s="27" t="str">
        <x:v>https://ifdaonline.org/distributor-members/</x:v>
      </x:c>
      <x:c r="J53" s="27" t="str">
        <x:v>Direct website verified from directory/source; customer ordering route requires additional account-level or site-specific verification.</x:v>
      </x:c>
      <x:c r="K53" s="54" t="n">
        <x:v>46216</x:v>
      </x:c>
    </x:row>
    <x:row r="54">
      <x:c r="A54" s="27" t="str">
        <x:v>Honor Foods, Inc.</x:v>
      </x:c>
      <x:c r="B54" s="27" t="str">
        <x:v>Redistributor</x:v>
      </x:c>
      <x:c r="C54" s="27" t="str">
        <x:v>IFDA</x:v>
      </x:c>
      <x:c r="D54" s="27" t="str">
        <x:v>https://www.honorfoods.com</x:v>
      </x:c>
      <x:c r="E54" s="27" t="str"/>
      <x:c r="F54" s="27" t="str">
        <x:v>Ordering portal not publicly verified</x:v>
      </x:c>
      <x:c r="G54" s="27" t="str"/>
      <x:c r="H54" s="27" t="str">
        <x:v>No public template located in this pass</x:v>
      </x:c>
      <x:c r="I54" s="27" t="str">
        <x:v>https://ifdaonline.org/distributor-members/</x:v>
      </x:c>
      <x:c r="J54" s="27" t="str">
        <x:v>Direct website verified from directory/source; customer ordering route requires additional account-level or site-specific verification.</x:v>
      </x:c>
      <x:c r="K54" s="54" t="n">
        <x:v>46216</x:v>
      </x:c>
    </x:row>
    <x:row r="55">
      <x:c r="A55" s="27" t="str">
        <x:v>HPC Foodservice</x:v>
      </x:c>
      <x:c r="B55" s="27" t="str">
        <x:v>Broadline</x:v>
      </x:c>
      <x:c r="C55" s="27" t="str">
        <x:v>IFDA</x:v>
      </x:c>
      <x:c r="D55" s="27" t="str">
        <x:v>https://www.hpcfs.com</x:v>
      </x:c>
      <x:c r="E55" s="27" t="str"/>
      <x:c r="F55" s="27" t="str">
        <x:v>Ordering portal not publicly verified</x:v>
      </x:c>
      <x:c r="G55" s="27" t="str"/>
      <x:c r="H55" s="27" t="str">
        <x:v>No public template located in this pass</x:v>
      </x:c>
      <x:c r="I55" s="27" t="str">
        <x:v>https://ifdaonline.org/distributor-members/</x:v>
      </x:c>
      <x:c r="J55" s="27" t="str">
        <x:v>Direct website verified from directory/source; customer ordering route requires additional account-level or site-specific verification.</x:v>
      </x:c>
      <x:c r="K55" s="54" t="n">
        <x:v>46216</x:v>
      </x:c>
    </x:row>
    <x:row r="56">
      <x:c r="A56" s="27" t="str">
        <x:v>I Supply Company</x:v>
      </x:c>
      <x:c r="B56" s="27" t="str">
        <x:v>Convenience / foodservice</x:v>
      </x:c>
      <x:c r="C56" s="27" t="str">
        <x:v>IFDA</x:v>
      </x:c>
      <x:c r="D56" s="27" t="str">
        <x:v>https://www.isupplyco.com</x:v>
      </x:c>
      <x:c r="E56" s="27" t="str"/>
      <x:c r="F56" s="27" t="str">
        <x:v>Ordering portal not publicly verified</x:v>
      </x:c>
      <x:c r="G56" s="27" t="str"/>
      <x:c r="H56" s="27" t="str">
        <x:v>No public template located in this pass</x:v>
      </x:c>
      <x:c r="I56" s="27" t="str">
        <x:v>https://ifdaonline.org/distributor-members/</x:v>
      </x:c>
      <x:c r="J56" s="27" t="str">
        <x:v>Direct website verified from directory/source; customer ordering route requires additional account-level or site-specific verification.</x:v>
      </x:c>
      <x:c r="K56" s="54" t="n">
        <x:v>46216</x:v>
      </x:c>
    </x:row>
    <x:row r="57">
      <x:c r="A57" s="27" t="str">
        <x:v>IFD Foodservice Distributor</x:v>
      </x:c>
      <x:c r="B57" s="27" t="str">
        <x:v>Broadline</x:v>
      </x:c>
      <x:c r="C57" s="27" t="str">
        <x:v>IFDA</x:v>
      </x:c>
      <x:c r="D57" s="27" t="str">
        <x:v>https://www.callifd.com</x:v>
      </x:c>
      <x:c r="E57" s="27" t="str"/>
      <x:c r="F57" s="27" t="str">
        <x:v>Ordering portal not publicly verified</x:v>
      </x:c>
      <x:c r="G57" s="27" t="str"/>
      <x:c r="H57" s="27" t="str">
        <x:v>No public template located in this pass</x:v>
      </x:c>
      <x:c r="I57" s="27" t="str">
        <x:v>https://ifdaonline.org/distributor-members/</x:v>
      </x:c>
      <x:c r="J57" s="27" t="str">
        <x:v>Direct website verified from directory/source; customer ordering route requires additional account-level or site-specific verification.</x:v>
      </x:c>
      <x:c r="K57" s="54" t="n">
        <x:v>46216</x:v>
      </x:c>
    </x:row>
    <x:row r="58">
      <x:c r="A58" s="27" t="str">
        <x:v>Independent Marketing Alliance</x:v>
      </x:c>
      <x:c r="B58" s="27" t="str">
        <x:v>Distributor network</x:v>
      </x:c>
      <x:c r="C58" s="27" t="str">
        <x:v>IFDA</x:v>
      </x:c>
      <x:c r="D58" s="27" t="str">
        <x:v>https://www.imaforce.com</x:v>
      </x:c>
      <x:c r="E58" s="27" t="str"/>
      <x:c r="F58" s="27" t="str">
        <x:v>Network/cooperative — not an operator ordering portal</x:v>
      </x:c>
      <x:c r="G58" s="27" t="str"/>
      <x:c r="H58" s="27" t="str">
        <x:v>No public template located in this pass</x:v>
      </x:c>
      <x:c r="I58" s="27" t="str">
        <x:v>https://ifdaonline.org/distributor-members/</x:v>
      </x:c>
      <x:c r="J58" s="27" t="str">
        <x:v>Direct website verified from directory/source; customer ordering route requires additional account-level or site-specific verification.</x:v>
      </x:c>
      <x:c r="K58" s="54" t="n">
        <x:v>46216</x:v>
      </x:c>
    </x:row>
    <x:row r="59">
      <x:c r="A59" s="27" t="str">
        <x:v>Imler's Poultry</x:v>
      </x:c>
      <x:c r="B59" s="27" t="str">
        <x:v>Poultry / specialty</x:v>
      </x:c>
      <x:c r="C59" s="27" t="str">
        <x:v>IFDA</x:v>
      </x:c>
      <x:c r="D59" s="27" t="str">
        <x:v>https://imlerspoultry.com</x:v>
      </x:c>
      <x:c r="E59" s="27" t="str"/>
      <x:c r="F59" s="27" t="str">
        <x:v>Ordering portal not publicly verified</x:v>
      </x:c>
      <x:c r="G59" s="27" t="str"/>
      <x:c r="H59" s="27" t="str">
        <x:v>No public template located in this pass</x:v>
      </x:c>
      <x:c r="I59" s="27" t="str">
        <x:v>https://ifdaonline.org/distributor-members/</x:v>
      </x:c>
      <x:c r="J59" s="27" t="str">
        <x:v>Direct website verified from directory/source; customer ordering route requires additional account-level or site-specific verification.</x:v>
      </x:c>
      <x:c r="K59" s="54" t="n">
        <x:v>46216</x:v>
      </x:c>
    </x:row>
    <x:row r="60">
      <x:c r="A60" s="27" t="str">
        <x:v>Jake's Finer Foods</x:v>
      </x:c>
      <x:c r="B60" s="27" t="str">
        <x:v>Broadline / specialty</x:v>
      </x:c>
      <x:c r="C60" s="27" t="str">
        <x:v>IFDA</x:v>
      </x:c>
      <x:c r="D60" s="27" t="str">
        <x:v>https://www.jakesfinerfoods.com</x:v>
      </x:c>
      <x:c r="E60" s="27" t="str"/>
      <x:c r="F60" s="27" t="str">
        <x:v>Ordering portal not publicly verified</x:v>
      </x:c>
      <x:c r="G60" s="27" t="str"/>
      <x:c r="H60" s="27" t="str">
        <x:v>No public template located in this pass</x:v>
      </x:c>
      <x:c r="I60" s="27" t="str">
        <x:v>https://ifdaonline.org/distributor-members/</x:v>
      </x:c>
      <x:c r="J60" s="27" t="str">
        <x:v>Direct website verified from directory/source; customer ordering route requires additional account-level or site-specific verification.</x:v>
      </x:c>
      <x:c r="K60" s="54" t="n">
        <x:v>46216</x:v>
      </x:c>
    </x:row>
    <x:row r="61">
      <x:c r="A61" s="27" t="str">
        <x:v>Jangbogo Foodbank</x:v>
      </x:c>
      <x:c r="B61" s="27" t="str">
        <x:v>Asian / specialty</x:v>
      </x:c>
      <x:c r="C61" s="27" t="str">
        <x:v>IFDA</x:v>
      </x:c>
      <x:c r="D61" s="27" t="str">
        <x:v>https://jangfood.com</x:v>
      </x:c>
      <x:c r="E61" s="27" t="str"/>
      <x:c r="F61" s="27" t="str">
        <x:v>Ordering portal not publicly verified</x:v>
      </x:c>
      <x:c r="G61" s="27" t="str"/>
      <x:c r="H61" s="27" t="str">
        <x:v>No public template located in this pass</x:v>
      </x:c>
      <x:c r="I61" s="27" t="str">
        <x:v>https://ifdaonline.org/distributor-members/</x:v>
      </x:c>
      <x:c r="J61" s="27" t="str">
        <x:v>Direct website verified from directory/source; customer ordering route requires additional account-level or site-specific verification.</x:v>
      </x:c>
      <x:c r="K61" s="54" t="n">
        <x:v>46216</x:v>
      </x:c>
    </x:row>
    <x:row r="62">
      <x:c r="A62" s="27" t="str">
        <x:v>JD Food</x:v>
      </x:c>
      <x:c r="B62" s="27" t="str">
        <x:v>Broadline</x:v>
      </x:c>
      <x:c r="C62" s="27" t="str">
        <x:v>IFDA</x:v>
      </x:c>
      <x:c r="D62" s="27" t="str">
        <x:v>https://jdfood.com</x:v>
      </x:c>
      <x:c r="E62" s="27" t="str"/>
      <x:c r="F62" s="27" t="str">
        <x:v>Ordering portal not publicly verified</x:v>
      </x:c>
      <x:c r="G62" s="27" t="str"/>
      <x:c r="H62" s="27" t="str">
        <x:v>No public template located in this pass</x:v>
      </x:c>
      <x:c r="I62" s="27" t="str">
        <x:v>https://ifdaonline.org/distributor-members/</x:v>
      </x:c>
      <x:c r="J62" s="27" t="str">
        <x:v>Direct website verified from directory/source; customer ordering route requires additional account-level or site-specific verification.</x:v>
      </x:c>
      <x:c r="K62" s="54" t="n">
        <x:v>46216</x:v>
      </x:c>
    </x:row>
    <x:row r="63">
      <x:c r="A63" s="27" t="str">
        <x:v>Johnson Bros. Bakery Supply</x:v>
      </x:c>
      <x:c r="B63" s="27" t="str">
        <x:v>Bakery ingredients</x:v>
      </x:c>
      <x:c r="C63" s="27" t="str">
        <x:v>IFDA</x:v>
      </x:c>
      <x:c r="D63" s="27" t="str">
        <x:v>https://jbrosbakerysupply.com</x:v>
      </x:c>
      <x:c r="E63" s="27" t="str"/>
      <x:c r="F63" s="27" t="str">
        <x:v>Ordering portal not publicly verified</x:v>
      </x:c>
      <x:c r="G63" s="27" t="str"/>
      <x:c r="H63" s="27" t="str">
        <x:v>No public template located in this pass</x:v>
      </x:c>
      <x:c r="I63" s="27" t="str">
        <x:v>https://ifdaonline.org/distributor-members/</x:v>
      </x:c>
      <x:c r="J63" s="27" t="str">
        <x:v>Direct website verified from directory/source; customer ordering route requires additional account-level or site-specific verification.</x:v>
      </x:c>
      <x:c r="K63" s="54" t="n">
        <x:v>46216</x:v>
      </x:c>
    </x:row>
    <x:row r="64">
      <x:c r="A64" s="27" t="str">
        <x:v>Jordano's Foodservice, Inc.</x:v>
      </x:c>
      <x:c r="B64" s="27" t="str">
        <x:v>Broadline</x:v>
      </x:c>
      <x:c r="C64" s="27" t="str">
        <x:v>IFDA</x:v>
      </x:c>
      <x:c r="D64" s="27" t="str">
        <x:v>https://jordanos.com</x:v>
      </x:c>
      <x:c r="E64" s="27" t="str"/>
      <x:c r="F64" s="27" t="str">
        <x:v>Ordering portal not publicly verified</x:v>
      </x:c>
      <x:c r="G64" s="27" t="str"/>
      <x:c r="H64" s="27" t="str">
        <x:v>No public template located in this pass</x:v>
      </x:c>
      <x:c r="I64" s="27" t="str">
        <x:v>https://ifdaonline.org/distributor-members/</x:v>
      </x:c>
      <x:c r="J64" s="27" t="str">
        <x:v>Direct website verified from directory/source; customer ordering route requires additional account-level or site-specific verification.</x:v>
      </x:c>
      <x:c r="K64" s="54" t="n">
        <x:v>46216</x:v>
      </x:c>
    </x:row>
    <x:row r="65">
      <x:c r="A65" s="27" t="str">
        <x:v>KAST Distributors, Inc.</x:v>
      </x:c>
      <x:c r="B65" s="27" t="str">
        <x:v>Broadline</x:v>
      </x:c>
      <x:c r="C65" s="27" t="str">
        <x:v>IFDA</x:v>
      </x:c>
      <x:c r="D65" s="27" t="str">
        <x:v>https://www.kastdistributors.com</x:v>
      </x:c>
      <x:c r="E65" s="27" t="str"/>
      <x:c r="F65" s="27" t="str">
        <x:v>Ordering portal not publicly verified</x:v>
      </x:c>
      <x:c r="G65" s="27" t="str"/>
      <x:c r="H65" s="27" t="str">
        <x:v>No public template located in this pass</x:v>
      </x:c>
      <x:c r="I65" s="27" t="str">
        <x:v>https://ifdaonline.org/distributor-members/</x:v>
      </x:c>
      <x:c r="J65" s="27" t="str">
        <x:v>Direct website verified from directory/source; customer ordering route requires additional account-level or site-specific verification.</x:v>
      </x:c>
      <x:c r="K65" s="54" t="n">
        <x:v>46216</x:v>
      </x:c>
    </x:row>
    <x:row r="66">
      <x:c r="A66" s="27" t="str">
        <x:v>Keck's Food Service, Inc.</x:v>
      </x:c>
      <x:c r="B66" s="27" t="str">
        <x:v>Broadline</x:v>
      </x:c>
      <x:c r="C66" s="27" t="str">
        <x:v>IFDA</x:v>
      </x:c>
      <x:c r="D66" s="27" t="str">
        <x:v>https://www.kecksfoodservice.com</x:v>
      </x:c>
      <x:c r="E66" s="27" t="str"/>
      <x:c r="F66" s="27" t="str">
        <x:v>Ordering portal not publicly verified</x:v>
      </x:c>
      <x:c r="G66" s="27" t="str"/>
      <x:c r="H66" s="27" t="str">
        <x:v>No public template located in this pass</x:v>
      </x:c>
      <x:c r="I66" s="27" t="str">
        <x:v>https://ifdaonline.org/distributor-members/</x:v>
      </x:c>
      <x:c r="J66" s="27" t="str">
        <x:v>Direct website verified from directory/source; customer ordering route requires additional account-level or site-specific verification.</x:v>
      </x:c>
      <x:c r="K66" s="54" t="n">
        <x:v>46216</x:v>
      </x:c>
    </x:row>
    <x:row r="67">
      <x:c r="A67" s="27" t="str">
        <x:v>Kohl Wholesale</x:v>
      </x:c>
      <x:c r="B67" s="27" t="str">
        <x:v>Broadline</x:v>
      </x:c>
      <x:c r="C67" s="27" t="str">
        <x:v>IFDA</x:v>
      </x:c>
      <x:c r="D67" s="27" t="str">
        <x:v>https://www.kohlwholesale.com</x:v>
      </x:c>
      <x:c r="E67" s="27" t="str"/>
      <x:c r="F67" s="27" t="str">
        <x:v>Ordering portal not publicly verified</x:v>
      </x:c>
      <x:c r="G67" s="27" t="str"/>
      <x:c r="H67" s="27" t="str">
        <x:v>No public template located in this pass</x:v>
      </x:c>
      <x:c r="I67" s="27" t="str">
        <x:v>https://ifdaonline.org/distributor-members/</x:v>
      </x:c>
      <x:c r="J67" s="27" t="str">
        <x:v>Direct website verified from directory/source; customer ordering route requires additional account-level or site-specific verification.</x:v>
      </x:c>
      <x:c r="K67" s="54" t="n">
        <x:v>46216</x:v>
      </x:c>
    </x:row>
    <x:row r="68">
      <x:c r="A68" s="27" t="str">
        <x:v>Kuna Foodservice</x:v>
      </x:c>
      <x:c r="B68" s="27" t="str">
        <x:v>Broadline</x:v>
      </x:c>
      <x:c r="C68" s="27" t="str">
        <x:v>IFDA</x:v>
      </x:c>
      <x:c r="D68" s="27" t="str">
        <x:v>https://www.kunafoodservice.com</x:v>
      </x:c>
      <x:c r="E68" s="27" t="str"/>
      <x:c r="F68" s="27" t="str">
        <x:v>Ordering portal not publicly verified</x:v>
      </x:c>
      <x:c r="G68" s="27" t="str"/>
      <x:c r="H68" s="27" t="str">
        <x:v>No public template located in this pass</x:v>
      </x:c>
      <x:c r="I68" s="27" t="str">
        <x:v>https://ifdaonline.org/distributor-members/</x:v>
      </x:c>
      <x:c r="J68" s="27" t="str">
        <x:v>Direct website verified from directory/source; customer ordering route requires additional account-level or site-specific verification.</x:v>
      </x:c>
      <x:c r="K68" s="54" t="n">
        <x:v>46216</x:v>
      </x:c>
    </x:row>
    <x:row r="69">
      <x:c r="A69" s="27" t="str">
        <x:v>Latina Boulevard Foods</x:v>
      </x:c>
      <x:c r="B69" s="27" t="str">
        <x:v>Hispanic / specialty</x:v>
      </x:c>
      <x:c r="C69" s="27" t="str">
        <x:v>IFDA</x:v>
      </x:c>
      <x:c r="D69" s="27" t="str">
        <x:v>https://www.latinaboulevardfoods.com</x:v>
      </x:c>
      <x:c r="E69" s="27" t="str"/>
      <x:c r="F69" s="27" t="str">
        <x:v>Ordering portal not publicly verified</x:v>
      </x:c>
      <x:c r="G69" s="27" t="str"/>
      <x:c r="H69" s="27" t="str">
        <x:v>No public template located in this pass</x:v>
      </x:c>
      <x:c r="I69" s="27" t="str">
        <x:v>https://ifdaonline.org/distributor-members/</x:v>
      </x:c>
      <x:c r="J69" s="27" t="str">
        <x:v>Direct website verified from directory/source; customer ordering route requires additional account-level or site-specific verification.</x:v>
      </x:c>
      <x:c r="K69" s="54" t="n">
        <x:v>46216</x:v>
      </x:c>
    </x:row>
    <x:row r="70">
      <x:c r="A70" s="27" t="str">
        <x:v>Legacy Food Group</x:v>
      </x:c>
      <x:c r="B70" s="27" t="str">
        <x:v>Distributor network</x:v>
      </x:c>
      <x:c r="C70" s="27" t="str">
        <x:v>IFDA</x:v>
      </x:c>
      <x:c r="D70" s="27" t="str">
        <x:v>https://legacyfoodgroup.com</x:v>
      </x:c>
      <x:c r="E70" s="27" t="str"/>
      <x:c r="F70" s="27" t="str">
        <x:v>Network/cooperative — not an operator ordering portal</x:v>
      </x:c>
      <x:c r="G70" s="27" t="str"/>
      <x:c r="H70" s="27" t="str">
        <x:v>No public template located in this pass</x:v>
      </x:c>
      <x:c r="I70" s="27" t="str">
        <x:v>https://ifdaonline.org/distributor-members/</x:v>
      </x:c>
      <x:c r="J70" s="27" t="str">
        <x:v>Direct website verified from directory/source; customer ordering route requires additional account-level or site-specific verification.</x:v>
      </x:c>
      <x:c r="K70" s="54" t="n">
        <x:v>46216</x:v>
      </x:c>
    </x:row>
    <x:row r="71">
      <x:c r="A71" s="27" t="str">
        <x:v>Loffredo Fresh Foods</x:v>
      </x:c>
      <x:c r="B71" s="27" t="str">
        <x:v>Produce / broadline</x:v>
      </x:c>
      <x:c r="C71" s="27" t="str">
        <x:v>IFDA</x:v>
      </x:c>
      <x:c r="D71" s="27" t="str">
        <x:v>https://www.loffredo.com</x:v>
      </x:c>
      <x:c r="E71" s="27" t="str"/>
      <x:c r="F71" s="27" t="str">
        <x:v>Ordering portal not publicly verified</x:v>
      </x:c>
      <x:c r="G71" s="27" t="str"/>
      <x:c r="H71" s="27" t="str">
        <x:v>No public template located in this pass</x:v>
      </x:c>
      <x:c r="I71" s="27" t="str">
        <x:v>https://ifdaonline.org/distributor-members/</x:v>
      </x:c>
      <x:c r="J71" s="27" t="str">
        <x:v>Direct website verified from directory/source; customer ordering route requires additional account-level or site-specific verification.</x:v>
      </x:c>
      <x:c r="K71" s="54" t="n">
        <x:v>46216</x:v>
      </x:c>
    </x:row>
    <x:row r="72">
      <x:c r="A72" s="27" t="str">
        <x:v>Lumina Foods, LLC</x:v>
      </x:c>
      <x:c r="B72" s="27" t="str">
        <x:v>Pizza / specialty</x:v>
      </x:c>
      <x:c r="C72" s="27" t="str">
        <x:v>IFDA</x:v>
      </x:c>
      <x:c r="D72" s="27" t="str">
        <x:v>https://luminafoods.com</x:v>
      </x:c>
      <x:c r="E72" s="27" t="str"/>
      <x:c r="F72" s="27" t="str">
        <x:v>Ordering portal not publicly verified</x:v>
      </x:c>
      <x:c r="G72" s="27" t="str"/>
      <x:c r="H72" s="27" t="str">
        <x:v>No public template located in this pass</x:v>
      </x:c>
      <x:c r="I72" s="27" t="str">
        <x:v>https://ifdaonline.org/distributor-members/</x:v>
      </x:c>
      <x:c r="J72" s="27" t="str">
        <x:v>Direct website verified from directory/source; customer ordering route requires additional account-level or site-specific verification.</x:v>
      </x:c>
      <x:c r="K72" s="54" t="n">
        <x:v>46216</x:v>
      </x:c>
    </x:row>
    <x:row r="73">
      <x:c r="A73" s="27" t="str">
        <x:v>Maximum Quality Foods</x:v>
      </x:c>
      <x:c r="B73" s="27" t="str">
        <x:v>Broadline / specialty</x:v>
      </x:c>
      <x:c r="C73" s="27" t="str">
        <x:v>IFDA</x:v>
      </x:c>
      <x:c r="D73" s="27" t="str">
        <x:v>https://maximumqualityfoods.com</x:v>
      </x:c>
      <x:c r="E73" s="27" t="str"/>
      <x:c r="F73" s="27" t="str">
        <x:v>Ordering portal not publicly verified</x:v>
      </x:c>
      <x:c r="G73" s="27" t="str"/>
      <x:c r="H73" s="27" t="str">
        <x:v>No public template located in this pass</x:v>
      </x:c>
      <x:c r="I73" s="27" t="str">
        <x:v>https://ifdaonline.org/distributor-members/</x:v>
      </x:c>
      <x:c r="J73" s="27" t="str">
        <x:v>Direct website verified from directory/source; customer ordering route requires additional account-level or site-specific verification.</x:v>
      </x:c>
      <x:c r="K73" s="54" t="n">
        <x:v>46216</x:v>
      </x:c>
    </x:row>
    <x:row r="74">
      <x:c r="A74" s="27" t="str">
        <x:v>M.J. Kellner Company, Inc.</x:v>
      </x:c>
      <x:c r="B74" s="27" t="str">
        <x:v>Broadline</x:v>
      </x:c>
      <x:c r="C74" s="27" t="str">
        <x:v>IFDA</x:v>
      </x:c>
      <x:c r="D74" s="27" t="str">
        <x:v>https://www.mjkellner.com</x:v>
      </x:c>
      <x:c r="E74" s="27" t="str"/>
      <x:c r="F74" s="27" t="str">
        <x:v>Ordering portal not publicly verified</x:v>
      </x:c>
      <x:c r="G74" s="27" t="str"/>
      <x:c r="H74" s="27" t="str">
        <x:v>No public template located in this pass</x:v>
      </x:c>
      <x:c r="I74" s="27" t="str">
        <x:v>https://ifdaonline.org/distributor-members/</x:v>
      </x:c>
      <x:c r="J74" s="27" t="str">
        <x:v>Direct website verified from directory/source; customer ordering route requires additional account-level or site-specific verification.</x:v>
      </x:c>
      <x:c r="K74" s="54" t="n">
        <x:v>46216</x:v>
      </x:c>
    </x:row>
    <x:row r="75">
      <x:c r="A75" s="27" t="str">
        <x:v>Maplevale Farms, Inc.</x:v>
      </x:c>
      <x:c r="B75" s="27" t="str">
        <x:v>Broadline</x:v>
      </x:c>
      <x:c r="C75" s="27" t="str">
        <x:v>IFDA</x:v>
      </x:c>
      <x:c r="D75" s="27" t="str">
        <x:v>https://maplevalefarms.com</x:v>
      </x:c>
      <x:c r="E75" s="27" t="str"/>
      <x:c r="F75" s="27" t="str">
        <x:v>Ordering portal not publicly verified</x:v>
      </x:c>
      <x:c r="G75" s="27" t="str"/>
      <x:c r="H75" s="27" t="str">
        <x:v>No public template located in this pass</x:v>
      </x:c>
      <x:c r="I75" s="27" t="str">
        <x:v>https://ifdaonline.org/distributor-members/</x:v>
      </x:c>
      <x:c r="J75" s="27" t="str">
        <x:v>Direct website verified from directory/source; customer ordering route requires additional account-level or site-specific verification.</x:v>
      </x:c>
      <x:c r="K75" s="54" t="n">
        <x:v>46216</x:v>
      </x:c>
    </x:row>
    <x:row r="76">
      <x:c r="A76" s="27" t="str">
        <x:v>Martin Bros. Distributing Co., Inc.</x:v>
      </x:c>
      <x:c r="B76" s="27" t="str">
        <x:v>Broadline</x:v>
      </x:c>
      <x:c r="C76" s="27" t="str">
        <x:v>IFDA</x:v>
      </x:c>
      <x:c r="D76" s="27" t="str">
        <x:v>https://www2.martinsnet.com</x:v>
      </x:c>
      <x:c r="E76" s="27" t="str"/>
      <x:c r="F76" s="27" t="str">
        <x:v>Ordering portal not publicly verified</x:v>
      </x:c>
      <x:c r="G76" s="27" t="str"/>
      <x:c r="H76" s="27" t="str">
        <x:v>No public template located in this pass</x:v>
      </x:c>
      <x:c r="I76" s="27" t="str">
        <x:v>https://ifdaonline.org/distributor-members/</x:v>
      </x:c>
      <x:c r="J76" s="27" t="str">
        <x:v>Direct website verified from directory/source; customer ordering route requires additional account-level or site-specific verification.</x:v>
      </x:c>
      <x:c r="K76" s="54" t="n">
        <x:v>46216</x:v>
      </x:c>
    </x:row>
    <x:row r="77">
      <x:c r="A77" s="27" t="str">
        <x:v>McDonald Wholesale Company</x:v>
      </x:c>
      <x:c r="B77" s="27" t="str">
        <x:v>Broadline</x:v>
      </x:c>
      <x:c r="C77" s="27" t="str">
        <x:v>IFDA</x:v>
      </x:c>
      <x:c r="D77" s="27" t="str">
        <x:v>https://www.mcdonaldwhsl.com</x:v>
      </x:c>
      <x:c r="E77" s="27" t="str"/>
      <x:c r="F77" s="27" t="str">
        <x:v>Ordering portal not publicly verified</x:v>
      </x:c>
      <x:c r="G77" s="27" t="str"/>
      <x:c r="H77" s="27" t="str">
        <x:v>No public template located in this pass</x:v>
      </x:c>
      <x:c r="I77" s="27" t="str">
        <x:v>https://ifdaonline.org/distributor-members/</x:v>
      </x:c>
      <x:c r="J77" s="27" t="str">
        <x:v>Direct website verified from directory/source; customer ordering route requires additional account-level or site-specific verification.</x:v>
      </x:c>
      <x:c r="K77" s="54" t="n">
        <x:v>46216</x:v>
      </x:c>
    </x:row>
    <x:row r="78">
      <x:c r="A78" s="27" t="str">
        <x:v>McLane Foodservice, Inc.</x:v>
      </x:c>
      <x:c r="B78" s="27" t="str">
        <x:v>National chain / convenience</x:v>
      </x:c>
      <x:c r="C78" s="27" t="str">
        <x:v>IFDA</x:v>
      </x:c>
      <x:c r="D78" s="27" t="str">
        <x:v>https://www.mclaneco.com</x:v>
      </x:c>
      <x:c r="E78" s="27" t="str"/>
      <x:c r="F78" s="27" t="str">
        <x:v>Ordering portal not publicly verified</x:v>
      </x:c>
      <x:c r="G78" s="27" t="str"/>
      <x:c r="H78" s="27" t="str">
        <x:v>No public template located in this pass</x:v>
      </x:c>
      <x:c r="I78" s="27" t="str">
        <x:v>https://ifdaonline.org/distributor-members/</x:v>
      </x:c>
      <x:c r="J78" s="27" t="str">
        <x:v>Direct website verified from directory/source; customer ordering route requires additional account-level or site-specific verification.</x:v>
      </x:c>
      <x:c r="K78" s="54" t="n">
        <x:v>46216</x:v>
      </x:c>
    </x:row>
    <x:row r="79">
      <x:c r="A79" s="27" t="str">
        <x:v>Mendez &amp; Co., Inc.</x:v>
      </x:c>
      <x:c r="B79" s="27" t="str">
        <x:v>Broadline / Puerto Rico</x:v>
      </x:c>
      <x:c r="C79" s="27" t="str">
        <x:v>IFDA</x:v>
      </x:c>
      <x:c r="D79" s="27" t="str">
        <x:v>https://www.mendezcopr.com</x:v>
      </x:c>
      <x:c r="E79" s="27" t="str"/>
      <x:c r="F79" s="27" t="str">
        <x:v>Ordering portal not publicly verified</x:v>
      </x:c>
      <x:c r="G79" s="27" t="str"/>
      <x:c r="H79" s="27" t="str">
        <x:v>No public template located in this pass</x:v>
      </x:c>
      <x:c r="I79" s="27" t="str">
        <x:v>https://ifdaonline.org/distributor-members/</x:v>
      </x:c>
      <x:c r="J79" s="27" t="str">
        <x:v>Direct website verified from directory/source; customer ordering route requires additional account-level or site-specific verification.</x:v>
      </x:c>
      <x:c r="K79" s="54" t="n">
        <x:v>46216</x:v>
      </x:c>
    </x:row>
    <x:row r="80">
      <x:c r="A80" s="27" t="str">
        <x:v>Merchants Grocery Co. Inc.</x:v>
      </x:c>
      <x:c r="B80" s="27" t="str">
        <x:v>Convenience / foodservice</x:v>
      </x:c>
      <x:c r="C80" s="27" t="str">
        <x:v>IFDA</x:v>
      </x:c>
      <x:c r="D80" s="27" t="str">
        <x:v>https://merchants-grocery.com</x:v>
      </x:c>
      <x:c r="E80" s="27" t="str"/>
      <x:c r="F80" s="27" t="str">
        <x:v>Ordering portal not publicly verified</x:v>
      </x:c>
      <x:c r="G80" s="27" t="str"/>
      <x:c r="H80" s="27" t="str">
        <x:v>No public template located in this pass</x:v>
      </x:c>
      <x:c r="I80" s="27" t="str">
        <x:v>https://ifdaonline.org/distributor-members/</x:v>
      </x:c>
      <x:c r="J80" s="27" t="str">
        <x:v>Direct website verified from directory/source; customer ordering route requires additional account-level or site-specific verification.</x:v>
      </x:c>
      <x:c r="K80" s="54" t="n">
        <x:v>46216</x:v>
      </x:c>
    </x:row>
    <x:row r="81">
      <x:c r="A81" s="27" t="str">
        <x:v>Multi Plus DM Inc.</x:v>
      </x:c>
      <x:c r="B81" s="27" t="str">
        <x:v>Specialty / wholesale</x:v>
      </x:c>
      <x:c r="C81" s="27" t="str">
        <x:v>IFDA</x:v>
      </x:c>
      <x:c r="D81" s="27" t="str">
        <x:v>https://www.multiplusdm.com</x:v>
      </x:c>
      <x:c r="E81" s="27" t="str"/>
      <x:c r="F81" s="27" t="str">
        <x:v>Ordering portal not publicly verified</x:v>
      </x:c>
      <x:c r="G81" s="27" t="str"/>
      <x:c r="H81" s="27" t="str">
        <x:v>No public template located in this pass</x:v>
      </x:c>
      <x:c r="I81" s="27" t="str">
        <x:v>https://ifdaonline.org/distributor-members/</x:v>
      </x:c>
      <x:c r="J81" s="27" t="str">
        <x:v>Direct website verified from directory/source; customer ordering route requires additional account-level or site-specific verification.</x:v>
      </x:c>
      <x:c r="K81" s="54" t="n">
        <x:v>46216</x:v>
      </x:c>
    </x:row>
    <x:row r="82">
      <x:c r="A82" s="27" t="str">
        <x:v>National DCP</x:v>
      </x:c>
      <x:c r="B82" s="27" t="str">
        <x:v>Closed-system / chain supply</x:v>
      </x:c>
      <x:c r="C82" s="27" t="str">
        <x:v>IFDA</x:v>
      </x:c>
      <x:c r="D82" s="27" t="str">
        <x:v>https://nationaldcp.com</x:v>
      </x:c>
      <x:c r="E82" s="27" t="str"/>
      <x:c r="F82" s="27" t="str">
        <x:v>Closed or franchise/system-specific ordering</x:v>
      </x:c>
      <x:c r="G82" s="27" t="str"/>
      <x:c r="H82" s="27" t="str">
        <x:v>No public template located in this pass</x:v>
      </x:c>
      <x:c r="I82" s="27" t="str">
        <x:v>https://ifdaonline.org/distributor-members/</x:v>
      </x:c>
      <x:c r="J82" s="27" t="str">
        <x:v>Direct website verified from directory/source; customer ordering route requires additional account-level or site-specific verification.</x:v>
      </x:c>
      <x:c r="K82" s="54" t="n">
        <x:v>46216</x:v>
      </x:c>
    </x:row>
    <x:row r="83">
      <x:c r="A83" s="27" t="str">
        <x:v>Navis Food Partners</x:v>
      </x:c>
      <x:c r="B83" s="27" t="str">
        <x:v>Distributor network</x:v>
      </x:c>
      <x:c r="C83" s="27" t="str">
        <x:v>IFDA</x:v>
      </x:c>
      <x:c r="D83" s="27" t="str">
        <x:v>https://navisfood.com</x:v>
      </x:c>
      <x:c r="E83" s="27" t="str"/>
      <x:c r="F83" s="27" t="str">
        <x:v>Network/cooperative — not an operator ordering portal</x:v>
      </x:c>
      <x:c r="G83" s="27" t="str"/>
      <x:c r="H83" s="27" t="str">
        <x:v>No public template located in this pass</x:v>
      </x:c>
      <x:c r="I83" s="27" t="str">
        <x:v>https://ifdaonline.org/distributor-members/</x:v>
      </x:c>
      <x:c r="J83" s="27" t="str">
        <x:v>Direct website verified from directory/source; customer ordering route requires additional account-level or site-specific verification.</x:v>
      </x:c>
      <x:c r="K83" s="54" t="n">
        <x:v>46216</x:v>
      </x:c>
    </x:row>
    <x:row r="84">
      <x:c r="A84" s="27" t="str">
        <x:v>Nicholas and Company, Inc.</x:v>
      </x:c>
      <x:c r="B84" s="27" t="str">
        <x:v>Broadline</x:v>
      </x:c>
      <x:c r="C84" s="27" t="str">
        <x:v>IFDA</x:v>
      </x:c>
      <x:c r="D84" s="27" t="str">
        <x:v>https://www.nicholasandco.com</x:v>
      </x:c>
      <x:c r="E84" s="27" t="str"/>
      <x:c r="F84" s="27" t="str">
        <x:v>Ordering portal not publicly verified</x:v>
      </x:c>
      <x:c r="G84" s="27" t="str"/>
      <x:c r="H84" s="27" t="str">
        <x:v>No public template located in this pass</x:v>
      </x:c>
      <x:c r="I84" s="27" t="str">
        <x:v>https://ifdaonline.org/distributor-members/</x:v>
      </x:c>
      <x:c r="J84" s="27" t="str">
        <x:v>Direct website verified from directory/source; customer ordering route requires additional account-level or site-specific verification.</x:v>
      </x:c>
      <x:c r="K84" s="54" t="n">
        <x:v>46216</x:v>
      </x:c>
    </x:row>
    <x:row r="85">
      <x:c r="A85" s="27" t="str">
        <x:v>Northern Haserot Food Service</x:v>
      </x:c>
      <x:c r="B85" s="27" t="str">
        <x:v>Broadline</x:v>
      </x:c>
      <x:c r="C85" s="27" t="str">
        <x:v>IFDA</x:v>
      </x:c>
      <x:c r="D85" s="27" t="str">
        <x:v>https://www.northernhaserot.com</x:v>
      </x:c>
      <x:c r="E85" s="27" t="str"/>
      <x:c r="F85" s="27" t="str">
        <x:v>Ordering portal not publicly verified</x:v>
      </x:c>
      <x:c r="G85" s="27" t="str"/>
      <x:c r="H85" s="27" t="str">
        <x:v>No public template located in this pass</x:v>
      </x:c>
      <x:c r="I85" s="27" t="str">
        <x:v>https://ifdaonline.org/distributor-members/</x:v>
      </x:c>
      <x:c r="J85" s="27" t="str">
        <x:v>Direct website verified from directory/source; customer ordering route requires additional account-level or site-specific verification.</x:v>
      </x:c>
      <x:c r="K85" s="54" t="n">
        <x:v>46216</x:v>
      </x:c>
    </x:row>
    <x:row r="86">
      <x:c r="A86" s="27" t="str">
        <x:v>Novick Brothers Corp.</x:v>
      </x:c>
      <x:c r="B86" s="27" t="str">
        <x:v>Broadline / institutional</x:v>
      </x:c>
      <x:c r="C86" s="27" t="str">
        <x:v>IFDA</x:v>
      </x:c>
      <x:c r="D86" s="27" t="str">
        <x:v>https://novickcorp.com</x:v>
      </x:c>
      <x:c r="E86" s="27" t="str"/>
      <x:c r="F86" s="27" t="str">
        <x:v>Ordering portal not publicly verified</x:v>
      </x:c>
      <x:c r="G86" s="27" t="str"/>
      <x:c r="H86" s="27" t="str">
        <x:v>No public template located in this pass</x:v>
      </x:c>
      <x:c r="I86" s="27" t="str">
        <x:v>https://ifdaonline.org/distributor-members/</x:v>
      </x:c>
      <x:c r="J86" s="27" t="str">
        <x:v>Direct website verified from directory/source; customer ordering route requires additional account-level or site-specific verification.</x:v>
      </x:c>
      <x:c r="K86" s="54" t="n">
        <x:v>46216</x:v>
      </x:c>
    </x:row>
    <x:row r="87">
      <x:c r="A87" s="27" t="str">
        <x:v>Ole Tyme Produce</x:v>
      </x:c>
      <x:c r="B87" s="27" t="str">
        <x:v>Produce</x:v>
      </x:c>
      <x:c r="C87" s="27" t="str">
        <x:v>IFDA</x:v>
      </x:c>
      <x:c r="D87" s="27" t="str">
        <x:v>https://www.oletyme.com</x:v>
      </x:c>
      <x:c r="E87" s="27" t="str"/>
      <x:c r="F87" s="27" t="str">
        <x:v>Ordering portal not publicly verified</x:v>
      </x:c>
      <x:c r="G87" s="27" t="str"/>
      <x:c r="H87" s="27" t="str">
        <x:v>No public template located in this pass</x:v>
      </x:c>
      <x:c r="I87" s="27" t="str">
        <x:v>https://ifdaonline.org/distributor-members/</x:v>
      </x:c>
      <x:c r="J87" s="27" t="str">
        <x:v>Direct website verified from directory/source; customer ordering route requires additional account-level or site-specific verification.</x:v>
      </x:c>
      <x:c r="K87" s="54" t="n">
        <x:v>46216</x:v>
      </x:c>
    </x:row>
    <x:row r="88">
      <x:c r="A88" s="27" t="str">
        <x:v>Pacific Provisions Hawaii</x:v>
      </x:c>
      <x:c r="B88" s="27" t="str">
        <x:v>Broadline / Hawaii</x:v>
      </x:c>
      <x:c r="C88" s="27" t="str">
        <x:v>IFDA</x:v>
      </x:c>
      <x:c r="D88" s="27" t="str">
        <x:v>https://pacificprovisionshawaii.com</x:v>
      </x:c>
      <x:c r="E88" s="27" t="str"/>
      <x:c r="F88" s="27" t="str">
        <x:v>Ordering portal not publicly verified</x:v>
      </x:c>
      <x:c r="G88" s="27" t="str"/>
      <x:c r="H88" s="27" t="str">
        <x:v>No public template located in this pass</x:v>
      </x:c>
      <x:c r="I88" s="27" t="str">
        <x:v>https://ifdaonline.org/distributor-members/</x:v>
      </x:c>
      <x:c r="J88" s="27" t="str">
        <x:v>Direct website verified from directory/source; customer ordering route requires additional account-level or site-specific verification.</x:v>
      </x:c>
      <x:c r="K88" s="54" t="n">
        <x:v>46216</x:v>
      </x:c>
    </x:row>
    <x:row r="89">
      <x:c r="A89" s="27" t="str">
        <x:v>Palmer Food Services</x:v>
      </x:c>
      <x:c r="B89" s="27" t="str">
        <x:v>Broadline / center-of-plate</x:v>
      </x:c>
      <x:c r="C89" s="27" t="str">
        <x:v>IFDA</x:v>
      </x:c>
      <x:c r="D89" s="27" t="str">
        <x:v>https://palmerfoods.com</x:v>
      </x:c>
      <x:c r="E89" s="27" t="str">
        <x:v>https://palmerfoods.com/order-online/</x:v>
      </x:c>
      <x:c r="F89" s="27" t="str">
        <x:v>Verified ordering landing page</x:v>
      </x:c>
      <x:c r="G89" s="27" t="str"/>
      <x:c r="H89" s="27" t="str">
        <x:v>No public template found</x:v>
      </x:c>
      <x:c r="I89" s="27" t="str">
        <x:v>https://palmerfoods.com/order-online/</x:v>
      </x:c>
      <x:c r="J89" s="27" t="str">
        <x:v>Web and mobile ordering; direct application URL is exposed after account setup.</x:v>
      </x:c>
      <x:c r="K89" s="54" t="n">
        <x:v>46216</x:v>
      </x:c>
    </x:row>
    <x:row r="90">
      <x:c r="A90" s="27" t="str">
        <x:v>Performance Food Group</x:v>
      </x:c>
      <x:c r="B90" s="27" t="str">
        <x:v>National broadline</x:v>
      </x:c>
      <x:c r="C90" s="27" t="str">
        <x:v>IFDA</x:v>
      </x:c>
      <x:c r="D90" s="27" t="str">
        <x:v>https://www.pfgc.com</x:v>
      </x:c>
      <x:c r="E90" s="27" t="str">
        <x:v>https://www.performancefoodservice.com/Your-Operation/CustomerFirst</x:v>
      </x:c>
      <x:c r="F90" s="27" t="str">
        <x:v>Verified ordering platform landing page (CustomerFirst)</x:v>
      </x:c>
      <x:c r="G90" s="27" t="str">
        <x:v>https://www.rrgconsulting.com/export-your-performance-net-order-guide.html</x:v>
      </x:c>
      <x:c r="H90" s="27" t="str">
        <x:v>CSV order-guide export instructions (third party)</x:v>
      </x:c>
      <x:c r="I90" s="27" t="str">
        <x:v>https://www.performancefoodservice.com/Your-Operation/CustomerFirst</x:v>
      </x:c>
      <x:c r="J90" s="27" t="str">
        <x:v>CustomerFirst includes custom lists/order guides; direct login is account-gated.</x:v>
      </x:c>
      <x:c r="K90" s="54" t="n">
        <x:v>46216</x:v>
      </x:c>
    </x:row>
    <x:row r="91">
      <x:c r="A91" s="27" t="str">
        <x:v>Phillips Food Service, LLC</x:v>
      </x:c>
      <x:c r="B91" s="27" t="str">
        <x:v>Broadline</x:v>
      </x:c>
      <x:c r="C91" s="27" t="str">
        <x:v>IFDA</x:v>
      </x:c>
      <x:c r="D91" s="27" t="str">
        <x:v>https://phillipsfoodservice.net</x:v>
      </x:c>
      <x:c r="E91" s="27" t="str"/>
      <x:c r="F91" s="27" t="str">
        <x:v>Ordering portal not publicly verified</x:v>
      </x:c>
      <x:c r="G91" s="27" t="str"/>
      <x:c r="H91" s="27" t="str">
        <x:v>No public template located in this pass</x:v>
      </x:c>
      <x:c r="I91" s="27" t="str">
        <x:v>https://ifdaonline.org/distributor-members/</x:v>
      </x:c>
      <x:c r="J91" s="27" t="str">
        <x:v>Direct website verified from directory/source; customer ordering route requires additional account-level or site-specific verification.</x:v>
      </x:c>
      <x:c r="K91" s="54" t="n">
        <x:v>46216</x:v>
      </x:c>
    </x:row>
    <x:row r="92">
      <x:c r="A92" s="27" t="str">
        <x:v>Pratts Foodservice</x:v>
      </x:c>
      <x:c r="B92" s="27" t="str">
        <x:v>Broadline</x:v>
      </x:c>
      <x:c r="C92" s="27" t="str">
        <x:v>IFDA</x:v>
      </x:c>
      <x:c r="D92" s="27" t="str">
        <x:v>https://ww1.pratts.com</x:v>
      </x:c>
      <x:c r="E92" s="27" t="str"/>
      <x:c r="F92" s="27" t="str">
        <x:v>Ordering portal not publicly verified</x:v>
      </x:c>
      <x:c r="G92" s="27" t="str"/>
      <x:c r="H92" s="27" t="str">
        <x:v>No public template located in this pass</x:v>
      </x:c>
      <x:c r="I92" s="27" t="str">
        <x:v>https://ifdaonline.org/distributor-members/</x:v>
      </x:c>
      <x:c r="J92" s="27" t="str">
        <x:v>Direct website verified from directory/source; customer ordering route requires additional account-level or site-specific verification.</x:v>
      </x:c>
      <x:c r="K92" s="54" t="n">
        <x:v>46216</x:v>
      </x:c>
    </x:row>
    <x:row r="93">
      <x:c r="A93" s="27" t="str">
        <x:v>Prime Source Foods</x:v>
      </x:c>
      <x:c r="B93" s="27" t="str">
        <x:v>Center-of-plate / specialty</x:v>
      </x:c>
      <x:c r="C93" s="27" t="str">
        <x:v>IFDA</x:v>
      </x:c>
      <x:c r="D93" s="27" t="str">
        <x:v>https://www.primesourcefoods.biz</x:v>
      </x:c>
      <x:c r="E93" s="27" t="str"/>
      <x:c r="F93" s="27" t="str">
        <x:v>Ordering portal not publicly verified</x:v>
      </x:c>
      <x:c r="G93" s="27" t="str"/>
      <x:c r="H93" s="27" t="str">
        <x:v>No public template located in this pass</x:v>
      </x:c>
      <x:c r="I93" s="27" t="str">
        <x:v>https://ifdaonline.org/distributor-members/</x:v>
      </x:c>
      <x:c r="J93" s="27" t="str">
        <x:v>Direct website verified from directory/source; customer ordering route requires additional account-level or site-specific verification.</x:v>
      </x:c>
      <x:c r="K93" s="54" t="n">
        <x:v>46216</x:v>
      </x:c>
    </x:row>
    <x:row r="94">
      <x:c r="A94" s="27" t="str">
        <x:v>Quaker Valley Foods, Inc.</x:v>
      </x:c>
      <x:c r="B94" s="27" t="str">
        <x:v>Meat / specialty broadline</x:v>
      </x:c>
      <x:c r="C94" s="27" t="str">
        <x:v>IFDA</x:v>
      </x:c>
      <x:c r="D94" s="27" t="str">
        <x:v>https://www.quakervalleyfoods.com</x:v>
      </x:c>
      <x:c r="E94" s="27" t="str"/>
      <x:c r="F94" s="27" t="str">
        <x:v>Ordering portal not publicly verified</x:v>
      </x:c>
      <x:c r="G94" s="27" t="str"/>
      <x:c r="H94" s="27" t="str">
        <x:v>No public template located in this pass</x:v>
      </x:c>
      <x:c r="I94" s="27" t="str">
        <x:v>https://ifdaonline.org/distributor-members/</x:v>
      </x:c>
      <x:c r="J94" s="27" t="str">
        <x:v>Direct website verified from directory/source; customer ordering route requires additional account-level or site-specific verification.</x:v>
      </x:c>
      <x:c r="K94" s="54" t="n">
        <x:v>46216</x:v>
      </x:c>
    </x:row>
    <x:row r="95">
      <x:c r="A95" s="27" t="str">
        <x:v>Quality Custom Distribution Services</x:v>
      </x:c>
      <x:c r="B95" s="27" t="str">
        <x:v>Closed-system / chain supply</x:v>
      </x:c>
      <x:c r="C95" s="27" t="str">
        <x:v>IFDA</x:v>
      </x:c>
      <x:c r="D95" s="27" t="str">
        <x:v>https://www.qualitycustomdistribution.com</x:v>
      </x:c>
      <x:c r="E95" s="27" t="str"/>
      <x:c r="F95" s="27" t="str">
        <x:v>Closed or franchise/system-specific ordering</x:v>
      </x:c>
      <x:c r="G95" s="27" t="str"/>
      <x:c r="H95" s="27" t="str">
        <x:v>No public template located in this pass</x:v>
      </x:c>
      <x:c r="I95" s="27" t="str">
        <x:v>https://ifdaonline.org/distributor-members/</x:v>
      </x:c>
      <x:c r="J95" s="27" t="str">
        <x:v>Direct website verified from directory/source; customer ordering route requires additional account-level or site-specific verification.</x:v>
      </x:c>
      <x:c r="K95" s="54" t="n">
        <x:v>46216</x:v>
      </x:c>
    </x:row>
    <x:row r="96">
      <x:c r="A96" s="27" t="str">
        <x:v>Quality Food Company</x:v>
      </x:c>
      <x:c r="B96" s="27" t="str">
        <x:v>Italian / specialty</x:v>
      </x:c>
      <x:c r="C96" s="27" t="str">
        <x:v>IFDA</x:v>
      </x:c>
      <x:c r="D96" s="27" t="str">
        <x:v>https://www.qualityfoodcompany.com</x:v>
      </x:c>
      <x:c r="E96" s="27" t="str"/>
      <x:c r="F96" s="27" t="str">
        <x:v>Ordering portal not publicly verified</x:v>
      </x:c>
      <x:c r="G96" s="27" t="str"/>
      <x:c r="H96" s="27" t="str">
        <x:v>No public template located in this pass</x:v>
      </x:c>
      <x:c r="I96" s="27" t="str">
        <x:v>https://ifdaonline.org/distributor-members/</x:v>
      </x:c>
      <x:c r="J96" s="27" t="str">
        <x:v>Direct website verified from directory/source; customer ordering route requires additional account-level or site-specific verification.</x:v>
      </x:c>
      <x:c r="K96" s="54" t="n">
        <x:v>46216</x:v>
      </x:c>
    </x:row>
    <x:row r="97">
      <x:c r="A97" s="27" t="str">
        <x:v>Royal Food Service</x:v>
      </x:c>
      <x:c r="B97" s="27" t="str">
        <x:v>Produce / broadline</x:v>
      </x:c>
      <x:c r="C97" s="27" t="str">
        <x:v>IFDA</x:v>
      </x:c>
      <x:c r="D97" s="27" t="str">
        <x:v>https://www.royalfoodservice.com</x:v>
      </x:c>
      <x:c r="E97" s="27" t="str"/>
      <x:c r="F97" s="27" t="str">
        <x:v>Ordering portal not publicly verified</x:v>
      </x:c>
      <x:c r="G97" s="27" t="str"/>
      <x:c r="H97" s="27" t="str">
        <x:v>No public template located in this pass</x:v>
      </x:c>
      <x:c r="I97" s="27" t="str">
        <x:v>https://ifdaonline.org/distributor-members/</x:v>
      </x:c>
      <x:c r="J97" s="27" t="str">
        <x:v>Direct website verified from directory/source; customer ordering route requires additional account-level or site-specific verification.</x:v>
      </x:c>
      <x:c r="K97" s="54" t="n">
        <x:v>46216</x:v>
      </x:c>
    </x:row>
    <x:row r="98">
      <x:c r="A98" s="27" t="str">
        <x:v>RRS Foodservice</x:v>
      </x:c>
      <x:c r="B98" s="27" t="str">
        <x:v>Broadline</x:v>
      </x:c>
      <x:c r="C98" s="27" t="str">
        <x:v>IFDA</x:v>
      </x:c>
      <x:c r="D98" s="27" t="str">
        <x:v>https://www.rrsfoodservice.com</x:v>
      </x:c>
      <x:c r="E98" s="27" t="str"/>
      <x:c r="F98" s="27" t="str">
        <x:v>Ordering portal not publicly verified</x:v>
      </x:c>
      <x:c r="G98" s="27" t="str"/>
      <x:c r="H98" s="27" t="str">
        <x:v>No public template located in this pass</x:v>
      </x:c>
      <x:c r="I98" s="27" t="str">
        <x:v>https://ifdaonline.org/distributor-members/</x:v>
      </x:c>
      <x:c r="J98" s="27" t="str">
        <x:v>Direct website verified from directory/source; customer ordering route requires additional account-level or site-specific verification.</x:v>
      </x:c>
      <x:c r="K98" s="54" t="n">
        <x:v>46216</x:v>
      </x:c>
    </x:row>
    <x:row r="99">
      <x:c r="A99" s="27" t="str">
        <x:v>S &amp; W Wholesale Foods, LLC</x:v>
      </x:c>
      <x:c r="B99" s="27" t="str">
        <x:v>Broadline</x:v>
      </x:c>
      <x:c r="C99" s="27" t="str">
        <x:v>IFDA</x:v>
      </x:c>
      <x:c r="D99" s="27" t="str">
        <x:v>https://www.s-wfoods.com</x:v>
      </x:c>
      <x:c r="E99" s="27" t="str"/>
      <x:c r="F99" s="27" t="str">
        <x:v>Ordering portal not publicly verified</x:v>
      </x:c>
      <x:c r="G99" s="27" t="str"/>
      <x:c r="H99" s="27" t="str">
        <x:v>No public template located in this pass</x:v>
      </x:c>
      <x:c r="I99" s="27" t="str">
        <x:v>https://ifdaonline.org/distributor-members/</x:v>
      </x:c>
      <x:c r="J99" s="27" t="str">
        <x:v>Direct website verified from directory/source; customer ordering route requires additional account-level or site-specific verification.</x:v>
      </x:c>
      <x:c r="K99" s="54" t="n">
        <x:v>46216</x:v>
      </x:c>
    </x:row>
    <x:row r="100">
      <x:c r="A100" s="27" t="str">
        <x:v>S. Abraham &amp; Sons, Inc.</x:v>
      </x:c>
      <x:c r="B100" s="27" t="str">
        <x:v>Convenience / foodservice</x:v>
      </x:c>
      <x:c r="C100" s="27" t="str">
        <x:v>IFDA</x:v>
      </x:c>
      <x:c r="D100" s="27" t="str">
        <x:v>https://www.sasinc.com</x:v>
      </x:c>
      <x:c r="E100" s="27" t="str"/>
      <x:c r="F100" s="27" t="str">
        <x:v>Ordering portal not publicly verified</x:v>
      </x:c>
      <x:c r="G100" s="27" t="str"/>
      <x:c r="H100" s="27" t="str">
        <x:v>No public template located in this pass</x:v>
      </x:c>
      <x:c r="I100" s="27" t="str">
        <x:v>https://ifdaonline.org/distributor-members/</x:v>
      </x:c>
      <x:c r="J100" s="27" t="str">
        <x:v>Direct website verified from directory/source; customer ordering route requires additional account-level or site-specific verification.</x:v>
      </x:c>
      <x:c r="K100" s="54" t="n">
        <x:v>46216</x:v>
      </x:c>
    </x:row>
    <x:row r="101">
      <x:c r="A101" s="27" t="str">
        <x:v>Sanwa Food Group</x:v>
      </x:c>
      <x:c r="B101" s="27" t="str">
        <x:v>Produce / broadline</x:v>
      </x:c>
      <x:c r="C101" s="27" t="str">
        <x:v>IFDA</x:v>
      </x:c>
      <x:c r="D101" s="27" t="str">
        <x:v>https://sanwagrowers.com</x:v>
      </x:c>
      <x:c r="E101" s="27" t="str"/>
      <x:c r="F101" s="27" t="str">
        <x:v>Ordering portal not publicly verified</x:v>
      </x:c>
      <x:c r="G101" s="27" t="str"/>
      <x:c r="H101" s="27" t="str">
        <x:v>No public template located in this pass</x:v>
      </x:c>
      <x:c r="I101" s="27" t="str">
        <x:v>https://ifdaonline.org/distributor-members/</x:v>
      </x:c>
      <x:c r="J101" s="27" t="str">
        <x:v>Direct website verified from directory/source; customer ordering route requires additional account-level or site-specific verification.</x:v>
      </x:c>
      <x:c r="K101" s="54" t="n">
        <x:v>46216</x:v>
      </x:c>
    </x:row>
    <x:row r="102">
      <x:c r="A102" s="27" t="str">
        <x:v>Saval Foodservice</x:v>
      </x:c>
      <x:c r="B102" s="27" t="str">
        <x:v>Broadline</x:v>
      </x:c>
      <x:c r="C102" s="27" t="str">
        <x:v>IFDA</x:v>
      </x:c>
      <x:c r="D102" s="27" t="str">
        <x:v>https://savalfoods.com</x:v>
      </x:c>
      <x:c r="E102" s="27" t="str">
        <x:v>https://savalfoodservice.cutanddry.com/</x:v>
      </x:c>
      <x:c r="F102" s="27" t="str">
        <x:v>Verified direct customer portal</x:v>
      </x:c>
      <x:c r="G102" s="27" t="str"/>
      <x:c r="H102" s="27" t="str">
        <x:v>No public template found</x:v>
      </x:c>
      <x:c r="I102" s="27" t="str">
        <x:v>https://www.savalfoods.com/online-ordering</x:v>
      </x:c>
      <x:c r="J102" s="27" t="str">
        <x:v>Cut+Dry portal supports ordering, product discovery and bill payment.</x:v>
      </x:c>
      <x:c r="K102" s="54" t="n">
        <x:v>46216</x:v>
      </x:c>
    </x:row>
    <x:row r="103">
      <x:c r="A103" s="27" t="str">
        <x:v>Scarmardo Foodservice Inc.</x:v>
      </x:c>
      <x:c r="B103" s="27" t="str">
        <x:v>Broadline</x:v>
      </x:c>
      <x:c r="C103" s="27" t="str">
        <x:v>IFDA</x:v>
      </x:c>
      <x:c r="D103" s="27" t="str">
        <x:v>https://www.scarmardofoods.com</x:v>
      </x:c>
      <x:c r="E103" s="27" t="str"/>
      <x:c r="F103" s="27" t="str">
        <x:v>Ordering portal not publicly verified</x:v>
      </x:c>
      <x:c r="G103" s="27" t="str"/>
      <x:c r="H103" s="27" t="str">
        <x:v>No public template located in this pass</x:v>
      </x:c>
      <x:c r="I103" s="27" t="str">
        <x:v>https://ifdaonline.org/distributor-members/</x:v>
      </x:c>
      <x:c r="J103" s="27" t="str">
        <x:v>Direct website verified from directory/source; customer ordering route requires additional account-level or site-specific verification.</x:v>
      </x:c>
      <x:c r="K103" s="54" t="n">
        <x:v>46216</x:v>
      </x:c>
    </x:row>
    <x:row r="104">
      <x:c r="A104" s="27" t="str">
        <x:v>Schenck Foods Company</x:v>
      </x:c>
      <x:c r="B104" s="27" t="str">
        <x:v>Broadline</x:v>
      </x:c>
      <x:c r="C104" s="27" t="str">
        <x:v>IFDA</x:v>
      </x:c>
      <x:c r="D104" s="27" t="str">
        <x:v>https://schenckfoods.com</x:v>
      </x:c>
      <x:c r="E104" s="27" t="str"/>
      <x:c r="F104" s="27" t="str">
        <x:v>Ordering portal not publicly verified</x:v>
      </x:c>
      <x:c r="G104" s="27" t="str"/>
      <x:c r="H104" s="27" t="str">
        <x:v>No public template located in this pass</x:v>
      </x:c>
      <x:c r="I104" s="27" t="str">
        <x:v>https://ifdaonline.org/distributor-members/</x:v>
      </x:c>
      <x:c r="J104" s="27" t="str">
        <x:v>Direct website verified from directory/source; customer ordering route requires additional account-level or site-specific verification.</x:v>
      </x:c>
      <x:c r="K104" s="54" t="n">
        <x:v>46216</x:v>
      </x:c>
    </x:row>
    <x:row r="105">
      <x:c r="A105" s="27" t="str">
        <x:v>Schiff's Food Service, Inc.</x:v>
      </x:c>
      <x:c r="B105" s="27" t="str">
        <x:v>Broadline</x:v>
      </x:c>
      <x:c r="C105" s="27" t="str">
        <x:v>IFDA</x:v>
      </x:c>
      <x:c r="D105" s="27" t="str">
        <x:v>https://www.schiffs.com</x:v>
      </x:c>
      <x:c r="E105" s="27" t="str"/>
      <x:c r="F105" s="27" t="str">
        <x:v>Ordering portal not publicly verified</x:v>
      </x:c>
      <x:c r="G105" s="27" t="str"/>
      <x:c r="H105" s="27" t="str">
        <x:v>No public template located in this pass</x:v>
      </x:c>
      <x:c r="I105" s="27" t="str">
        <x:v>https://ifdaonline.org/distributor-members/</x:v>
      </x:c>
      <x:c r="J105" s="27" t="str">
        <x:v>Direct website verified from directory/source; customer ordering route requires additional account-level or site-specific verification.</x:v>
      </x:c>
      <x:c r="K105" s="54" t="n">
        <x:v>46216</x:v>
      </x:c>
    </x:row>
    <x:row r="106">
      <x:c r="A106" s="27" t="str">
        <x:v>Scooter's Coffee / Harvest Roasting</x:v>
      </x:c>
      <x:c r="B106" s="27" t="str">
        <x:v>Closed-system / coffee chain</x:v>
      </x:c>
      <x:c r="C106" s="27" t="str">
        <x:v>IFDA</x:v>
      </x:c>
      <x:c r="D106" s="27" t="str">
        <x:v>https://www.harvestroasting.com</x:v>
      </x:c>
      <x:c r="E106" s="27" t="str"/>
      <x:c r="F106" s="27" t="str">
        <x:v>Closed or franchise/system-specific ordering</x:v>
      </x:c>
      <x:c r="G106" s="27" t="str"/>
      <x:c r="H106" s="27" t="str">
        <x:v>No public template located in this pass</x:v>
      </x:c>
      <x:c r="I106" s="27" t="str">
        <x:v>https://ifdaonline.org/distributor-members/</x:v>
      </x:c>
      <x:c r="J106" s="27" t="str">
        <x:v>Direct website verified from directory/source; customer ordering route requires additional account-level or site-specific verification.</x:v>
      </x:c>
      <x:c r="K106" s="54" t="n">
        <x:v>46216</x:v>
      </x:c>
    </x:row>
    <x:row r="107">
      <x:c r="A107" s="27" t="str">
        <x:v>SGC Foodservice</x:v>
      </x:c>
      <x:c r="B107" s="27" t="str">
        <x:v>Broadline</x:v>
      </x:c>
      <x:c r="C107" s="27" t="str">
        <x:v>IFDA</x:v>
      </x:c>
      <x:c r="D107" s="27" t="str">
        <x:v>https://www.sgcfoodservice.com</x:v>
      </x:c>
      <x:c r="E107" s="27" t="str">
        <x:v>https://pnet.sgcfoodservice.com/</x:v>
      </x:c>
      <x:c r="F107" s="27" t="str">
        <x:v>Verified direct customer portal</x:v>
      </x:c>
      <x:c r="G107" s="27" t="str"/>
      <x:c r="H107" s="27" t="str">
        <x:v>No public template found</x:v>
      </x:c>
      <x:c r="I107" s="27" t="str">
        <x:v>https://www.sgcfoodservice.com/mysgc-order-entry/</x:v>
      </x:c>
      <x:c r="J107" s="27" t="str">
        <x:v>MySGC/PowerNet ordering options are linked from the public site.</x:v>
      </x:c>
      <x:c r="K107" s="54" t="n">
        <x:v>46216</x:v>
      </x:c>
    </x:row>
    <x:row r="108">
      <x:c r="A108" s="27" t="str">
        <x:v>Shamrock Foods Company</x:v>
      </x:c>
      <x:c r="B108" s="27" t="str">
        <x:v>Broadline</x:v>
      </x:c>
      <x:c r="C108" s="27" t="str">
        <x:v>IFDA</x:v>
      </x:c>
      <x:c r="D108" s="27" t="str">
        <x:v>https://www.shamrockfoods.com</x:v>
      </x:c>
      <x:c r="E108" s="27" t="str">
        <x:v>https://m.myshamrock.com/</x:v>
      </x:c>
      <x:c r="F108" s="27" t="str">
        <x:v>Verified direct customer portal (MyShamrock)</x:v>
      </x:c>
      <x:c r="G108" s="27" t="str"/>
      <x:c r="H108" s="27" t="str">
        <x:v>No public template found</x:v>
      </x:c>
      <x:c r="I108" s="27" t="str">
        <x:v>https://www.shamrockfoodservice.com/resources/shamrockorders/</x:v>
      </x:c>
      <x:c r="J108" s="27" t="str">
        <x:v>Supports online ordering and customizable sheet-to-shelf order guides.</x:v>
      </x:c>
      <x:c r="K108" s="54" t="n">
        <x:v>46216</x:v>
      </x:c>
    </x:row>
    <x:row r="109">
      <x:c r="A109" s="27" t="str">
        <x:v>Sofo Foods</x:v>
      </x:c>
      <x:c r="B109" s="27" t="str">
        <x:v>Italian / broadline</x:v>
      </x:c>
      <x:c r="C109" s="27" t="str">
        <x:v>IFDA</x:v>
      </x:c>
      <x:c r="D109" s="27" t="str">
        <x:v>https://www.sofofoods.com</x:v>
      </x:c>
      <x:c r="E109" s="27" t="str">
        <x:v>https://order.sofofoods.com/pnet/eOrder</x:v>
      </x:c>
      <x:c r="F109" s="27" t="str">
        <x:v>Verified direct customer portal</x:v>
      </x:c>
      <x:c r="G109" s="27" t="str"/>
      <x:c r="H109" s="27" t="str">
        <x:v>No public template found</x:v>
      </x:c>
      <x:c r="I109" s="27" t="str">
        <x:v>https://www.sofofoods.com/order</x:v>
      </x:c>
      <x:c r="J109" s="27" t="str">
        <x:v>Current customers can sign up for online ordering; a Pepper portal also exists.</x:v>
      </x:c>
      <x:c r="K109" s="54" t="n">
        <x:v>46216</x:v>
      </x:c>
    </x:row>
    <x:row r="110">
      <x:c r="A110" s="27" t="str">
        <x:v>Southeastern Food Merchandisers</x:v>
      </x:c>
      <x:c r="B110" s="27" t="str">
        <x:v>Broadline / specialty</x:v>
      </x:c>
      <x:c r="C110" s="27" t="str">
        <x:v>IFDA</x:v>
      </x:c>
      <x:c r="D110" s="27" t="str">
        <x:v>https://www.southeasternfood.com</x:v>
      </x:c>
      <x:c r="E110" s="27" t="str"/>
      <x:c r="F110" s="27" t="str">
        <x:v>Ordering portal not publicly verified</x:v>
      </x:c>
      <x:c r="G110" s="27" t="str"/>
      <x:c r="H110" s="27" t="str">
        <x:v>No public template located in this pass</x:v>
      </x:c>
      <x:c r="I110" s="27" t="str">
        <x:v>https://ifdaonline.org/distributor-members/</x:v>
      </x:c>
      <x:c r="J110" s="27" t="str">
        <x:v>Direct website verified from directory/source; customer ordering route requires additional account-level or site-specific verification.</x:v>
      </x:c>
      <x:c r="K110" s="54" t="n">
        <x:v>46216</x:v>
      </x:c>
    </x:row>
    <x:row r="111">
      <x:c r="A111" s="27" t="str">
        <x:v>Southwest Traders, Inc.</x:v>
      </x:c>
      <x:c r="B111" s="27" t="str">
        <x:v>Broadline / specialty</x:v>
      </x:c>
      <x:c r="C111" s="27" t="str">
        <x:v>IFDA</x:v>
      </x:c>
      <x:c r="D111" s="27" t="str">
        <x:v>https://www.southwesttraders.com</x:v>
      </x:c>
      <x:c r="E111" s="27" t="str"/>
      <x:c r="F111" s="27" t="str">
        <x:v>Ordering portal not publicly verified</x:v>
      </x:c>
      <x:c r="G111" s="27" t="str"/>
      <x:c r="H111" s="27" t="str">
        <x:v>No public template located in this pass</x:v>
      </x:c>
      <x:c r="I111" s="27" t="str">
        <x:v>https://ifdaonline.org/distributor-members/</x:v>
      </x:c>
      <x:c r="J111" s="27" t="str">
        <x:v>Direct website verified from directory/source; customer ordering route requires additional account-level or site-specific verification.</x:v>
      </x:c>
      <x:c r="K111" s="54" t="n">
        <x:v>46216</x:v>
      </x:c>
    </x:row>
    <x:row r="112">
      <x:c r="A112" s="27" t="str">
        <x:v>Suisan Company, Limited</x:v>
      </x:c>
      <x:c r="B112" s="27" t="str">
        <x:v>Broadline / Hawaii</x:v>
      </x:c>
      <x:c r="C112" s="27" t="str">
        <x:v>IFDA</x:v>
      </x:c>
      <x:c r="D112" s="27" t="str">
        <x:v>https://www.suisan.com</x:v>
      </x:c>
      <x:c r="E112" s="27" t="str"/>
      <x:c r="F112" s="27" t="str">
        <x:v>Ordering portal not publicly verified</x:v>
      </x:c>
      <x:c r="G112" s="27" t="str"/>
      <x:c r="H112" s="27" t="str">
        <x:v>No public template located in this pass</x:v>
      </x:c>
      <x:c r="I112" s="27" t="str">
        <x:v>https://ifdaonline.org/distributor-members/</x:v>
      </x:c>
      <x:c r="J112" s="27" t="str">
        <x:v>Direct website verified from directory/source; customer ordering route requires additional account-level or site-specific verification.</x:v>
      </x:c>
      <x:c r="K112" s="54" t="n">
        <x:v>46216</x:v>
      </x:c>
    </x:row>
    <x:row r="113">
      <x:c r="A113" s="27" t="str">
        <x:v>Sutherland's Foodservice, Inc.</x:v>
      </x:c>
      <x:c r="B113" s="27" t="str">
        <x:v>Broadline</x:v>
      </x:c>
      <x:c r="C113" s="27" t="str">
        <x:v>IFDA</x:v>
      </x:c>
      <x:c r="D113" s="27" t="str">
        <x:v>https://www.suthfoodservice.com</x:v>
      </x:c>
      <x:c r="E113" s="27" t="str"/>
      <x:c r="F113" s="27" t="str">
        <x:v>Ordering portal not publicly verified</x:v>
      </x:c>
      <x:c r="G113" s="27" t="str"/>
      <x:c r="H113" s="27" t="str">
        <x:v>No public template located in this pass</x:v>
      </x:c>
      <x:c r="I113" s="27" t="str">
        <x:v>https://ifdaonline.org/distributor-members/</x:v>
      </x:c>
      <x:c r="J113" s="27" t="str">
        <x:v>Direct website verified from directory/source; customer ordering route requires additional account-level or site-specific verification.</x:v>
      </x:c>
      <x:c r="K113" s="54" t="n">
        <x:v>46216</x:v>
      </x:c>
    </x:row>
    <x:row r="114">
      <x:c r="A114" s="27" t="str">
        <x:v>Sysco Corporation</x:v>
      </x:c>
      <x:c r="B114" s="27" t="str">
        <x:v>National broadline</x:v>
      </x:c>
      <x:c r="C114" s="27" t="str">
        <x:v>IFDA</x:v>
      </x:c>
      <x:c r="D114" s="27" t="str">
        <x:v>https://www.sysco.com</x:v>
      </x:c>
      <x:c r="E114" s="27" t="str">
        <x:v>https://shop.sysco.com/auth/login</x:v>
      </x:c>
      <x:c r="F114" s="27" t="str">
        <x:v>Verified direct customer portal</x:v>
      </x:c>
      <x:c r="G114" s="27" t="str">
        <x:v>https://www.rrgconsulting.com/export-your-sysco-order-guide-from-sysco-shop.html</x:v>
      </x:c>
      <x:c r="H114" s="27" t="str">
        <x:v>CSV order-guide export instructions (third party)</x:v>
      </x:c>
      <x:c r="I114" s="27" t="str">
        <x:v>https://sysco.com/en-us/shopmobile</x:v>
      </x:c>
      <x:c r="J114" s="27" t="str">
        <x:v>Sysco Shop supports custom lists/order guides. Public documentation found for exporting, not a vendor-hosted blank upload template.</x:v>
      </x:c>
      <x:c r="K114" s="54" t="n">
        <x:v>46216</x:v>
      </x:c>
    </x:row>
    <x:row r="115">
      <x:c r="A115" s="27" t="str">
        <x:v>Tankersley Foodservice LLC</x:v>
      </x:c>
      <x:c r="B115" s="27" t="str">
        <x:v>Broadline</x:v>
      </x:c>
      <x:c r="C115" s="27" t="str">
        <x:v>IFDA</x:v>
      </x:c>
      <x:c r="D115" s="27" t="str">
        <x:v>https://www.tankersleyfoods.com</x:v>
      </x:c>
      <x:c r="E115" s="27" t="str"/>
      <x:c r="F115" s="27" t="str">
        <x:v>Ordering portal not publicly verified</x:v>
      </x:c>
      <x:c r="G115" s="27" t="str"/>
      <x:c r="H115" s="27" t="str">
        <x:v>No public template located in this pass</x:v>
      </x:c>
      <x:c r="I115" s="27" t="str">
        <x:v>https://ifdaonline.org/distributor-members/</x:v>
      </x:c>
      <x:c r="J115" s="27" t="str">
        <x:v>Direct website verified from directory/source; customer ordering route requires additional account-level or site-specific verification.</x:v>
      </x:c>
      <x:c r="K115" s="54" t="n">
        <x:v>46216</x:v>
      </x:c>
    </x:row>
    <x:row r="116">
      <x:c r="A116" s="27" t="str">
        <x:v>Team Sledd</x:v>
      </x:c>
      <x:c r="B116" s="27" t="str">
        <x:v>Convenience / foodservice</x:v>
      </x:c>
      <x:c r="C116" s="27" t="str">
        <x:v>IFDA</x:v>
      </x:c>
      <x:c r="D116" s="27" t="str">
        <x:v>https://www.sleddco.com</x:v>
      </x:c>
      <x:c r="E116" s="27" t="str"/>
      <x:c r="F116" s="27" t="str">
        <x:v>Ordering portal not publicly verified</x:v>
      </x:c>
      <x:c r="G116" s="27" t="str"/>
      <x:c r="H116" s="27" t="str">
        <x:v>No public template located in this pass</x:v>
      </x:c>
      <x:c r="I116" s="27" t="str">
        <x:v>https://ifdaonline.org/distributor-members/</x:v>
      </x:c>
      <x:c r="J116" s="27" t="str">
        <x:v>Direct website verified from directory/source; customer ordering route requires additional account-level or site-specific verification.</x:v>
      </x:c>
      <x:c r="K116" s="54" t="n">
        <x:v>46216</x:v>
      </x:c>
    </x:row>
    <x:row r="117">
      <x:c r="A117" s="27" t="str">
        <x:v>Thurston Foods, Inc.</x:v>
      </x:c>
      <x:c r="B117" s="27" t="str">
        <x:v>Broadline</x:v>
      </x:c>
      <x:c r="C117" s="27" t="str">
        <x:v>IFDA</x:v>
      </x:c>
      <x:c r="D117" s="27" t="str">
        <x:v>https://www.thurstonfoods.com</x:v>
      </x:c>
      <x:c r="E117" s="27" t="str"/>
      <x:c r="F117" s="27" t="str">
        <x:v>Ordering portal not publicly verified</x:v>
      </x:c>
      <x:c r="G117" s="27" t="str"/>
      <x:c r="H117" s="27" t="str">
        <x:v>No public template located in this pass</x:v>
      </x:c>
      <x:c r="I117" s="27" t="str">
        <x:v>https://ifdaonline.org/distributor-members/</x:v>
      </x:c>
      <x:c r="J117" s="27" t="str">
        <x:v>Direct website verified from directory/source; customer ordering route requires additional account-level or site-specific verification.</x:v>
      </x:c>
      <x:c r="K117" s="54" t="n">
        <x:v>46216</x:v>
      </x:c>
    </x:row>
    <x:row r="118">
      <x:c r="A118" s="27" t="str">
        <x:v>UniPro Foodservice, Inc.</x:v>
      </x:c>
      <x:c r="B118" s="27" t="str">
        <x:v>Distributor cooperative</x:v>
      </x:c>
      <x:c r="C118" s="27" t="str">
        <x:v>IFDA</x:v>
      </x:c>
      <x:c r="D118" s="27" t="str">
        <x:v>https://www.uniprofoodservice.com</x:v>
      </x:c>
      <x:c r="E118" s="27" t="str"/>
      <x:c r="F118" s="27" t="str">
        <x:v>Network/cooperative — not an operator ordering portal</x:v>
      </x:c>
      <x:c r="G118" s="27" t="str"/>
      <x:c r="H118" s="27" t="str">
        <x:v>No public template located in this pass</x:v>
      </x:c>
      <x:c r="I118" s="27" t="str">
        <x:v>https://ifdaonline.org/distributor-members/</x:v>
      </x:c>
      <x:c r="J118" s="27" t="str">
        <x:v>Direct website verified from directory/source; customer ordering route requires additional account-level or site-specific verification.</x:v>
      </x:c>
      <x:c r="K118" s="54" t="n">
        <x:v>46216</x:v>
      </x:c>
    </x:row>
    <x:row r="119">
      <x:c r="A119" s="27" t="str">
        <x:v>Upper Lakes Foods Inc.</x:v>
      </x:c>
      <x:c r="B119" s="27" t="str">
        <x:v>Broadline</x:v>
      </x:c>
      <x:c r="C119" s="27" t="str">
        <x:v>IFDA</x:v>
      </x:c>
      <x:c r="D119" s="27" t="str">
        <x:v>https://www.upperlakesfoods.com</x:v>
      </x:c>
      <x:c r="E119" s="27" t="str">
        <x:v>https://ulfweb.com/</x:v>
      </x:c>
      <x:c r="F119" s="27" t="str">
        <x:v>Verified direct customer portal (MegaBite)</x:v>
      </x:c>
      <x:c r="G119" s="27" t="str"/>
      <x:c r="H119" s="27" t="str">
        <x:v>No public template found</x:v>
      </x:c>
      <x:c r="I119" s="27" t="str">
        <x:v>https://upperlakesfoods.com/order/</x:v>
      </x:c>
      <x:c r="J119" s="27" t="str">
        <x:v>Upper Lakes also promotes a newer Pepper-powered ordering experience.</x:v>
      </x:c>
      <x:c r="K119" s="54" t="n">
        <x:v>46216</x:v>
      </x:c>
    </x:row>
    <x:row r="120">
      <x:c r="A120" s="27" t="str">
        <x:v>US Foods</x:v>
      </x:c>
      <x:c r="B120" s="27" t="str">
        <x:v>National broadline</x:v>
      </x:c>
      <x:c r="C120" s="27" t="str">
        <x:v>IFDA</x:v>
      </x:c>
      <x:c r="D120" s="27" t="str">
        <x:v>https://www.usfoods.com</x:v>
      </x:c>
      <x:c r="E120" s="27" t="str">
        <x:v>https://www.usfoods.com/how-we-help-you/easy-ordering</x:v>
      </x:c>
      <x:c r="F120" s="27" t="str">
        <x:v>Verified ordering platform landing page (MOXē)</x:v>
      </x:c>
      <x:c r="G120" s="27" t="str">
        <x:v>https://www.usfoods.com/content/dam/usf/pdf/E-Commerce/moxe/us-foods-online-import-orders-users-manual.pdf</x:v>
      </x:c>
      <x:c r="H120" s="27" t="str">
        <x:v>Official CSV import-order instructions/template workflow</x:v>
      </x:c>
      <x:c r="I120" s="27" t="str">
        <x:v>https://www.usfoods.com/how-we-help-you/easy-ordering</x:v>
      </x:c>
      <x:c r="J120" s="27" t="str">
        <x:v>Official documentation describes creating and uploading CSV orders; customer credentials are required.</x:v>
      </x:c>
      <x:c r="K120" s="54" t="n">
        <x:v>46216</x:v>
      </x:c>
    </x:row>
    <x:row r="121">
      <x:c r="A121" s="27" t="str">
        <x:v>Van Eerden Foodservice</x:v>
      </x:c>
      <x:c r="B121" s="27" t="str">
        <x:v>Broadline</x:v>
      </x:c>
      <x:c r="C121" s="27" t="str">
        <x:v>IFDA</x:v>
      </x:c>
      <x:c r="D121" s="27" t="str">
        <x:v>https://www.vaneerden.com</x:v>
      </x:c>
      <x:c r="E121" s="27" t="str">
        <x:v>https://customer.vaneerden.com/</x:v>
      </x:c>
      <x:c r="F121" s="27" t="str">
        <x:v>Verified direct customer portal</x:v>
      </x:c>
      <x:c r="G121" s="27" t="str"/>
      <x:c r="H121" s="27" t="str">
        <x:v>No public template found</x:v>
      </x:c>
      <x:c r="I121" s="27" t="str">
        <x:v>https://www.vaneerden.com/fresh-solutions/</x:v>
      </x:c>
      <x:c r="J121" s="27" t="str">
        <x:v>Portal includes custom order guides, PAR levels, history and promotions.</x:v>
      </x:c>
      <x:c r="K121" s="54" t="n">
        <x:v>46216</x:v>
      </x:c>
    </x:row>
    <x:row r="122">
      <x:c r="A122" s="27" t="str">
        <x:v>VIP Foodservice</x:v>
      </x:c>
      <x:c r="B122" s="27" t="str">
        <x:v>Broadline</x:v>
      </x:c>
      <x:c r="C122" s="27" t="str">
        <x:v>IFDA</x:v>
      </x:c>
      <x:c r="D122" s="27" t="str">
        <x:v>https://www.vipfoodservice.com</x:v>
      </x:c>
      <x:c r="E122" s="27" t="str"/>
      <x:c r="F122" s="27" t="str">
        <x:v>Ordering portal not publicly verified</x:v>
      </x:c>
      <x:c r="G122" s="27" t="str"/>
      <x:c r="H122" s="27" t="str">
        <x:v>No public template located in this pass</x:v>
      </x:c>
      <x:c r="I122" s="27" t="str">
        <x:v>https://ifdaonline.org/distributor-members/</x:v>
      </x:c>
      <x:c r="J122" s="27" t="str">
        <x:v>Direct website verified from directory/source; customer ordering route requires additional account-level or site-specific verification.</x:v>
      </x:c>
      <x:c r="K122" s="54" t="n">
        <x:v>46216</x:v>
      </x:c>
    </x:row>
    <x:row r="123">
      <x:c r="A123" s="27" t="str">
        <x:v>Vitco Distributors, Inc.</x:v>
      </x:c>
      <x:c r="B123" s="27" t="str">
        <x:v>Broadline</x:v>
      </x:c>
      <x:c r="C123" s="27" t="str">
        <x:v>IFDA</x:v>
      </x:c>
      <x:c r="D123" s="27" t="str">
        <x:v>https://www.vitcofoods.com</x:v>
      </x:c>
      <x:c r="E123" s="27" t="str"/>
      <x:c r="F123" s="27" t="str">
        <x:v>Ordering portal not publicly verified</x:v>
      </x:c>
      <x:c r="G123" s="27" t="str"/>
      <x:c r="H123" s="27" t="str">
        <x:v>No public template located in this pass</x:v>
      </x:c>
      <x:c r="I123" s="27" t="str">
        <x:v>https://ifdaonline.org/distributor-members/</x:v>
      </x:c>
      <x:c r="J123" s="27" t="str">
        <x:v>Direct website verified from directory/source; customer ordering route requires additional account-level or site-specific verification.</x:v>
      </x:c>
      <x:c r="K123" s="54" t="n">
        <x:v>46216</x:v>
      </x:c>
    </x:row>
    <x:row r="124">
      <x:c r="A124" s="27" t="str">
        <x:v>Wabash Foodservice</x:v>
      </x:c>
      <x:c r="B124" s="27" t="str">
        <x:v>Broadline</x:v>
      </x:c>
      <x:c r="C124" s="27" t="str">
        <x:v>IFDA</x:v>
      </x:c>
      <x:c r="D124" s="27" t="str">
        <x:v>https://www.wabashfoodservice.com</x:v>
      </x:c>
      <x:c r="E124" s="27" t="str"/>
      <x:c r="F124" s="27" t="str">
        <x:v>Ordering portal not publicly verified</x:v>
      </x:c>
      <x:c r="G124" s="27" t="str"/>
      <x:c r="H124" s="27" t="str">
        <x:v>No public template located in this pass</x:v>
      </x:c>
      <x:c r="I124" s="27" t="str">
        <x:v>https://ifdaonline.org/distributor-members/</x:v>
      </x:c>
      <x:c r="J124" s="27" t="str">
        <x:v>Direct website verified from directory/source; customer ordering route requires additional account-level or site-specific verification.</x:v>
      </x:c>
      <x:c r="K124" s="54" t="n">
        <x:v>46216</x:v>
      </x:c>
    </x:row>
    <x:row r="125">
      <x:c r="A125" s="27" t="str">
        <x:v>Wood Fruitticher Food Service</x:v>
      </x:c>
      <x:c r="B125" s="27" t="str">
        <x:v>Broadline</x:v>
      </x:c>
      <x:c r="C125" s="27" t="str">
        <x:v>IFDA</x:v>
      </x:c>
      <x:c r="D125" s="27" t="str">
        <x:v>https://www.woodfruitticher.com</x:v>
      </x:c>
      <x:c r="E125" s="27" t="str">
        <x:v>https://woodfruitticher.foodorderentry.com/?FromMobile=1</x:v>
      </x:c>
      <x:c r="F125" s="27" t="str">
        <x:v>Verified direct customer portal</x:v>
      </x:c>
      <x:c r="G125" s="27" t="str"/>
      <x:c r="H125" s="27" t="str">
        <x:v>No public template found</x:v>
      </x:c>
      <x:c r="I125" s="27" t="str">
        <x:v>https://www.woodfruitticher.com/resources/online-ordering/</x:v>
      </x:c>
      <x:c r="J125" s="27" t="str">
        <x:v>Also migrating/promoting a Pepper-powered mobile and web system.</x:v>
      </x:c>
      <x:c r="K125" s="54" t="n">
        <x:v>46216</x:v>
      </x:c>
    </x:row>
    <x:row r="126">
      <x:c r="A126" s="27" t="str">
        <x:v>Y. Hata &amp; Co., Ltd.</x:v>
      </x:c>
      <x:c r="B126" s="27" t="str">
        <x:v>Broadline / Hawaii</x:v>
      </x:c>
      <x:c r="C126" s="27" t="str">
        <x:v>IFDA</x:v>
      </x:c>
      <x:c r="D126" s="27" t="str">
        <x:v>https://www.yhata.com</x:v>
      </x:c>
      <x:c r="E126" s="27" t="str"/>
      <x:c r="F126" s="27" t="str">
        <x:v>Ordering portal not publicly verified</x:v>
      </x:c>
      <x:c r="G126" s="27" t="str"/>
      <x:c r="H126" s="27" t="str">
        <x:v>No public template located in this pass</x:v>
      </x:c>
      <x:c r="I126" s="27" t="str">
        <x:v>https://ifdaonline.org/distributor-members/</x:v>
      </x:c>
      <x:c r="J126" s="27" t="str">
        <x:v>Direct website verified from directory/source; customer ordering route requires additional account-level or site-specific verification.</x:v>
      </x:c>
      <x:c r="K126" s="54" t="n">
        <x:v>46216</x:v>
      </x:c>
    </x:row>
    <x:row r="127">
      <x:c r="A127" s="27" t="str">
        <x:v>Yen Bros. Food Service</x:v>
      </x:c>
      <x:c r="B127" s="27" t="str">
        <x:v>Asian / broadline</x:v>
      </x:c>
      <x:c r="C127" s="27" t="str">
        <x:v>IFDA</x:v>
      </x:c>
      <x:c r="D127" s="27" t="str">
        <x:v>https://www.yenbros.com</x:v>
      </x:c>
      <x:c r="E127" s="27" t="str"/>
      <x:c r="F127" s="27" t="str">
        <x:v>Ordering portal not publicly verified</x:v>
      </x:c>
      <x:c r="G127" s="27" t="str"/>
      <x:c r="H127" s="27" t="str">
        <x:v>No public template located in this pass</x:v>
      </x:c>
      <x:c r="I127" s="27" t="str">
        <x:v>https://ifdaonline.org/distributor-members/</x:v>
      </x:c>
      <x:c r="J127" s="27" t="str">
        <x:v>Direct website verified from directory/source; customer ordering route requires additional account-level or site-specific verification.</x:v>
      </x:c>
      <x:c r="K127" s="54" t="n">
        <x:v>46216</x:v>
      </x:c>
    </x:row>
    <x:row r="128">
      <x:c r="A128" s="27" t="str">
        <x:v>Baldor Specialty Foods</x:v>
      </x:c>
      <x:c r="B128" s="27" t="str">
        <x:v>Produce / specialty</x:v>
      </x:c>
      <x:c r="C128" s="27" t="str">
        <x:v>Supplemental</x:v>
      </x:c>
      <x:c r="D128" s="27" t="str">
        <x:v>https://www.baldorfood.com</x:v>
      </x:c>
      <x:c r="E128" s="27" t="str">
        <x:v>https://www.baldorfood.com/sign-in</x:v>
      </x:c>
      <x:c r="F128" s="27" t="str">
        <x:v>Verified direct customer portal</x:v>
      </x:c>
      <x:c r="G128" s="27" t="str"/>
      <x:c r="H128" s="27" t="str">
        <x:v>No public template found</x:v>
      </x:c>
      <x:c r="I128" s="27" t="str">
        <x:v>https://www.baldorfood.com/sign-in</x:v>
      </x:c>
      <x:c r="J128" s="27" t="str">
        <x:v>Online catalog and ordering are integrated into Baldor's main website.</x:v>
      </x:c>
      <x:c r="K128" s="54" t="n">
        <x:v>46216</x:v>
      </x:c>
    </x:row>
    <x:row r="129">
      <x:c r="A129" s="27" t="str">
        <x:v>FreshPoint</x:v>
      </x:c>
      <x:c r="B129" s="27" t="str">
        <x:v>Produce / Sysco subsidiary</x:v>
      </x:c>
      <x:c r="C129" s="27" t="str">
        <x:v>Supplemental</x:v>
      </x:c>
      <x:c r="D129" s="27" t="str">
        <x:v>https://www.freshpoint.com</x:v>
      </x:c>
      <x:c r="E129" s="27" t="str">
        <x:v>https://myfreshpoint.com/</x:v>
      </x:c>
      <x:c r="F129" s="27" t="str">
        <x:v>Verified direct customer portal</x:v>
      </x:c>
      <x:c r="G129" s="27" t="str">
        <x:v>https://www.freshpoint.com/wp-content/uploads/2018/10/myfreshpoint_QuickTipGuide.pdf</x:v>
      </x:c>
      <x:c r="H129" s="27" t="str">
        <x:v>Official ordering/order-guide quick guide (not blank template)</x:v>
      </x:c>
      <x:c r="I129" s="27" t="str">
        <x:v>https://www.freshpoint.com/centralflorida/</x:v>
      </x:c>
      <x:c r="J129" s="27" t="str">
        <x:v>Sysco-owned produce distributor; MyFreshPoint supports order guides and inventory sheets.</x:v>
      </x:c>
      <x:c r="K129" s="54" t="n">
        <x:v>46216</x:v>
      </x:c>
    </x:row>
    <x:row r="130">
      <x:c r="A130" s="27" t="str">
        <x:v>What Chefs Want</x:v>
      </x:c>
      <x:c r="B130" s="27" t="str">
        <x:v>Produce / specialty broadline</x:v>
      </x:c>
      <x:c r="C130" s="27" t="str">
        <x:v>Supplemental</x:v>
      </x:c>
      <x:c r="D130" s="27" t="str">
        <x:v>https://www.whatchefswant.com</x:v>
      </x:c>
      <x:c r="E130" s="27" t="str">
        <x:v>https://whatchefswant.cutanddry.com/</x:v>
      </x:c>
      <x:c r="F130" s="27" t="str">
        <x:v>Verified direct customer portal</x:v>
      </x:c>
      <x:c r="G130" s="27" t="str"/>
      <x:c r="H130" s="27" t="str">
        <x:v>No public template found</x:v>
      </x:c>
      <x:c r="I130" s="27" t="str">
        <x:v>https://www.whatchefswant.com/customer-login/</x:v>
      </x:c>
      <x:c r="J130" s="27" t="str">
        <x:v>Cut+Dry portal; legacy/customer-specific login options also remain.</x:v>
      </x:c>
      <x:c r="K130" s="54" t="n">
        <x:v>46216</x:v>
      </x:c>
    </x:row>
    <x:row r="131">
      <x:c r="A131" s="27" t="str">
        <x:v>Gourmet Foods International</x:v>
      </x:c>
      <x:c r="B131" s="27" t="str">
        <x:v>Specialty foods</x:v>
      </x:c>
      <x:c r="C131" s="27" t="str">
        <x:v>Supplemental</x:v>
      </x:c>
      <x:c r="D131" s="27" t="str">
        <x:v>https://www.gfifoods.com</x:v>
      </x:c>
      <x:c r="E131" s="27" t="str">
        <x:v>https://www.gfifoods.com/customer/account/</x:v>
      </x:c>
      <x:c r="F131" s="27" t="str">
        <x:v>Verified direct customer portal</x:v>
      </x:c>
      <x:c r="G131" s="27" t="str"/>
      <x:c r="H131" s="27" t="str">
        <x:v>No public template found</x:v>
      </x:c>
      <x:c r="I131" s="27" t="str">
        <x:v>https://www.gfifoods.com/customers</x:v>
      </x:c>
      <x:c r="J131" s="27" t="str">
        <x:v>Online ordering and shipment status are available to registered customers.</x:v>
      </x:c>
      <x:c r="K131" s="54" t="n">
        <x:v>46216</x:v>
      </x:c>
    </x:row>
    <x:row r="132">
      <x:c r="A132" s="27" t="str">
        <x:v>FoodServiceDirect</x:v>
      </x:c>
      <x:c r="B132" s="27" t="str">
        <x:v>Online foodservice retailer</x:v>
      </x:c>
      <x:c r="C132" s="27" t="str">
        <x:v>Supplemental</x:v>
      </x:c>
      <x:c r="D132" s="27" t="str">
        <x:v>https://www.foodservicedirect.com</x:v>
      </x:c>
      <x:c r="E132" s="27" t="str">
        <x:v>https://www.foodservicedirect.com/</x:v>
      </x:c>
      <x:c r="F132" s="27" t="str">
        <x:v>Public e-commerce storefront</x:v>
      </x:c>
      <x:c r="G132" s="27" t="str"/>
      <x:c r="H132" s="27" t="str">
        <x:v>No vendor-order import template found</x:v>
      </x:c>
      <x:c r="I132" s="27" t="str">
        <x:v>https://www.foodservicedirect.com/</x:v>
      </x:c>
      <x:c r="J132" s="27" t="str">
        <x:v>Open online ordering; not a traditional account-rep broadliner.</x:v>
      </x:c>
      <x:c r="K132" s="54" t="n">
        <x:v>46216</x:v>
      </x:c>
    </x:row>
    <x:row r="133">
      <x:c r="A133" s="27" t="str">
        <x:v>WebstaurantStore</x:v>
      </x:c>
      <x:c r="B133" s="27" t="str">
        <x:v>Online restaurant supply / food</x:v>
      </x:c>
      <x:c r="C133" s="27" t="str">
        <x:v>Supplemental</x:v>
      </x:c>
      <x:c r="D133" s="27" t="str">
        <x:v>https://www.webstaurantstore.com</x:v>
      </x:c>
      <x:c r="E133" s="27" t="str">
        <x:v>https://www.webstaurantstore.com/</x:v>
      </x:c>
      <x:c r="F133" s="27" t="str">
        <x:v>Public e-commerce storefront</x:v>
      </x:c>
      <x:c r="G133" s="27" t="str"/>
      <x:c r="H133" s="27" t="str">
        <x:v>No vendor-order import template found</x:v>
      </x:c>
      <x:c r="I133" s="27" t="str">
        <x:v>https://www.webstaurantstore.com/</x:v>
      </x:c>
      <x:c r="J133" s="27" t="str">
        <x:v>Open online ordering for food, supplies and equipment.</x:v>
      </x:c>
      <x:c r="K133" s="54" t="n">
        <x:v>46216</x:v>
      </x:c>
    </x:row>
    <x:row r="134">
      <x:c r="A134" s="27" t="str">
        <x:v>Restaurant Depot / Jetro</x:v>
      </x:c>
      <x:c r="B134" s="27" t="str">
        <x:v>Cash-and-carry / wholesale</x:v>
      </x:c>
      <x:c r="C134" s="27" t="str">
        <x:v>Supplemental</x:v>
      </x:c>
      <x:c r="D134" s="27" t="str">
        <x:v>https://www.restaurantdepot.com</x:v>
      </x:c>
      <x:c r="E134" s="27" t="str"/>
      <x:c r="F134" s="27" t="str">
        <x:v>Ordering portal not publicly verified</x:v>
      </x:c>
      <x:c r="G134" s="27" t="str"/>
      <x:c r="H134" s="27" t="str">
        <x:v>No public template located in this pass</x:v>
      </x:c>
      <x:c r="I134" s="27" t="str">
        <x:v>https://www.restaurantdepot.com</x:v>
      </x:c>
      <x:c r="J134" s="27" t="str">
        <x:v>Direct website verified from directory/source; customer ordering route requires additional account-level or site-specific verification.</x:v>
      </x:c>
      <x:c r="K134" s="54" t="n">
        <x:v>46216</x:v>
      </x:c>
    </x:row>
    <x:row r="135">
      <x:c r="A135" s="27" t="str">
        <x:v>UNFI</x:v>
      </x:c>
      <x:c r="B135" s="27" t="str">
        <x:v>Natural / grocery distribution</x:v>
      </x:c>
      <x:c r="C135" s="27" t="str">
        <x:v>Supplemental</x:v>
      </x:c>
      <x:c r="D135" s="27" t="str">
        <x:v>https://www.unfi.com</x:v>
      </x:c>
      <x:c r="E135" s="27" t="str"/>
      <x:c r="F135" s="27" t="str">
        <x:v>Ordering portal not publicly verified</x:v>
      </x:c>
      <x:c r="G135" s="27" t="str"/>
      <x:c r="H135" s="27" t="str">
        <x:v>No public template located in this pass</x:v>
      </x:c>
      <x:c r="I135" s="27" t="str">
        <x:v>https://www.unfi.com</x:v>
      </x:c>
      <x:c r="J135" s="27" t="str">
        <x:v>Direct website verified from directory/source; customer ordering route requires additional account-level or site-specific verification.</x:v>
      </x:c>
      <x:c r="K135" s="54" t="n">
        <x:v>46216</x:v>
      </x:c>
    </x:row>
    <x:row r="136">
      <x:c r="A136" s="27" t="str">
        <x:v>KeHE Distributors</x:v>
      </x:c>
      <x:c r="B136" s="27" t="str">
        <x:v>Natural / specialty distribution</x:v>
      </x:c>
      <x:c r="C136" s="27" t="str">
        <x:v>Supplemental</x:v>
      </x:c>
      <x:c r="D136" s="27" t="str">
        <x:v>https://www.kehe.com</x:v>
      </x:c>
      <x:c r="E136" s="27" t="str"/>
      <x:c r="F136" s="27" t="str">
        <x:v>Ordering portal not publicly verified</x:v>
      </x:c>
      <x:c r="G136" s="27" t="str"/>
      <x:c r="H136" s="27" t="str">
        <x:v>No public template located in this pass</x:v>
      </x:c>
      <x:c r="I136" s="27" t="str">
        <x:v>https://www.kehe.com</x:v>
      </x:c>
      <x:c r="J136" s="27" t="str">
        <x:v>Direct website verified from directory/source; customer ordering route requires additional account-level or site-specific verification.</x:v>
      </x:c>
      <x:c r="K136" s="54" t="n">
        <x:v>46216</x:v>
      </x:c>
    </x:row>
    <x:row r="137">
      <x:c r="A137" s="27" t="str">
        <x:v>C&amp;S Wholesale Grocers</x:v>
      </x:c>
      <x:c r="B137" s="27" t="str">
        <x:v>Grocery wholesale</x:v>
      </x:c>
      <x:c r="C137" s="27" t="str">
        <x:v>Supplemental</x:v>
      </x:c>
      <x:c r="D137" s="27" t="str">
        <x:v>https://www.cswg.com</x:v>
      </x:c>
      <x:c r="E137" s="27" t="str"/>
      <x:c r="F137" s="27" t="str">
        <x:v>Ordering portal not publicly verified</x:v>
      </x:c>
      <x:c r="G137" s="27" t="str"/>
      <x:c r="H137" s="27" t="str">
        <x:v>No public template located in this pass</x:v>
      </x:c>
      <x:c r="I137" s="27" t="str">
        <x:v>https://www.cswg.com</x:v>
      </x:c>
      <x:c r="J137" s="27" t="str">
        <x:v>Direct website verified from directory/source; customer ordering route requires additional account-level or site-specific verification.</x:v>
      </x:c>
      <x:c r="K137" s="54" t="n">
        <x:v>46216</x:v>
      </x:c>
    </x:row>
    <x:row r="138">
      <x:c r="A138" s="27" t="str">
        <x:v>Core-Mark</x:v>
      </x:c>
      <x:c r="B138" s="27" t="str">
        <x:v>Convenience distribution / PFG</x:v>
      </x:c>
      <x:c r="C138" s="27" t="str">
        <x:v>Supplemental</x:v>
      </x:c>
      <x:c r="D138" s="27" t="str">
        <x:v>https://www.core-mark.com</x:v>
      </x:c>
      <x:c r="E138" s="27" t="str"/>
      <x:c r="F138" s="27" t="str">
        <x:v>Ordering portal not publicly verified</x:v>
      </x:c>
      <x:c r="G138" s="27" t="str"/>
      <x:c r="H138" s="27" t="str">
        <x:v>No public template located in this pass</x:v>
      </x:c>
      <x:c r="I138" s="27" t="str">
        <x:v>https://www.core-mark.com</x:v>
      </x:c>
      <x:c r="J138" s="27" t="str">
        <x:v>Direct website verified from directory/source; customer ordering route requires additional account-level or site-specific verification.</x:v>
      </x:c>
      <x:c r="K138" s="54" t="n">
        <x:v>46216</x:v>
      </x:c>
    </x:row>
    <x:row r="139">
      <x:c r="A139" s="27" t="str">
        <x:v>Vistar</x:v>
      </x:c>
      <x:c r="B139" s="27" t="str">
        <x:v>Vending / concessions / PFG</x:v>
      </x:c>
      <x:c r="C139" s="27" t="str">
        <x:v>Supplemental</x:v>
      </x:c>
      <x:c r="D139" s="27" t="str">
        <x:v>https://www.vistar.com</x:v>
      </x:c>
      <x:c r="E139" s="27" t="str"/>
      <x:c r="F139" s="27" t="str">
        <x:v>Ordering portal not publicly verified</x:v>
      </x:c>
      <x:c r="G139" s="27" t="str"/>
      <x:c r="H139" s="27" t="str">
        <x:v>No public template located in this pass</x:v>
      </x:c>
      <x:c r="I139" s="27" t="str">
        <x:v>https://www.vistar.com</x:v>
      </x:c>
      <x:c r="J139" s="27" t="str">
        <x:v>Direct website verified from directory/source; customer ordering route requires additional account-level or site-specific verification.</x:v>
      </x:c>
      <x:c r="K139" s="54" t="n">
        <x:v>46216</x:v>
      </x:c>
    </x:row>
    <x:row r="140">
      <x:c r="A140" s="27" t="str">
        <x:v>D'Artagnan</x:v>
      </x:c>
      <x:c r="B140" s="27" t="str">
        <x:v>Meat / specialty</x:v>
      </x:c>
      <x:c r="C140" s="27" t="str">
        <x:v>Supplemental</x:v>
      </x:c>
      <x:c r="D140" s="27" t="str">
        <x:v>https://www.dartagnan.com</x:v>
      </x:c>
      <x:c r="E140" s="27" t="str"/>
      <x:c r="F140" s="27" t="str">
        <x:v>Ordering portal not publicly verified</x:v>
      </x:c>
      <x:c r="G140" s="27" t="str"/>
      <x:c r="H140" s="27" t="str">
        <x:v>No public template located in this pass</x:v>
      </x:c>
      <x:c r="I140" s="27" t="str">
        <x:v>https://www.dartagnan.com</x:v>
      </x:c>
      <x:c r="J140" s="27" t="str">
        <x:v>Direct website verified from directory/source; customer ordering route requires additional account-level or site-specific verification.</x:v>
      </x:c>
      <x:c r="K140" s="54" t="n">
        <x:v>46216</x:v>
      </x:c>
    </x:row>
    <x:row r="141">
      <x:c r="A141" s="27" t="str">
        <x:v>Baker's Authority</x:v>
      </x:c>
      <x:c r="B141" s="27" t="str">
        <x:v>Bakery ingredients / online</x:v>
      </x:c>
      <x:c r="C141" s="27" t="str">
        <x:v>Supplemental</x:v>
      </x:c>
      <x:c r="D141" s="27" t="str">
        <x:v>https://www.bakersauthority.com</x:v>
      </x:c>
      <x:c r="E141" s="27" t="str"/>
      <x:c r="F141" s="27" t="str">
        <x:v>Ordering portal not publicly verified</x:v>
      </x:c>
      <x:c r="G141" s="27" t="str"/>
      <x:c r="H141" s="27" t="str">
        <x:v>No public template located in this pass</x:v>
      </x:c>
      <x:c r="I141" s="27" t="str">
        <x:v>https://www.bakersauthority.com</x:v>
      </x:c>
      <x:c r="J141" s="27" t="str">
        <x:v>Direct website verified from directory/source; customer ordering route requires additional account-level or site-specific verification.</x:v>
      </x:c>
      <x:c r="K141" s="54" t="n">
        <x:v>46216</x:v>
      </x:c>
    </x:row>
    <x:row r="142">
      <x:c r="A142" s="27" t="str">
        <x:v>International Gourmet Foods</x:v>
      </x:c>
      <x:c r="B142" s="27" t="str">
        <x:v>Specialty foods</x:v>
      </x:c>
      <x:c r="C142" s="27" t="str">
        <x:v>Supplemental</x:v>
      </x:c>
      <x:c r="D142" s="27" t="str">
        <x:v>https://www.igf-inc.com</x:v>
      </x:c>
      <x:c r="E142" s="27" t="str"/>
      <x:c r="F142" s="27" t="str">
        <x:v>Ordering portal not publicly verified</x:v>
      </x:c>
      <x:c r="G142" s="27" t="str"/>
      <x:c r="H142" s="27" t="str">
        <x:v>No public template located in this pass</x:v>
      </x:c>
      <x:c r="I142" s="27" t="str">
        <x:v>https://www.igf-inc.com</x:v>
      </x:c>
      <x:c r="J142" s="27" t="str">
        <x:v>Direct website verified from directory/source; customer ordering route requires additional account-level or site-specific verification.</x:v>
      </x:c>
      <x:c r="K142" s="54" t="n">
        <x:v>46216</x:v>
      </x:c>
    </x:row>
    <x:row r="143">
      <x:c r="K143" s="55"/>
    </x:row>
    <x:row r="144">
      <x:c r="K144" s="55"/>
    </x:row>
    <x:row r="145">
      <x:c r="K145" s="55"/>
    </x:row>
    <x:row r="146">
      <x:c r="K146" s="55"/>
    </x:row>
    <x:row r="147">
      <x:c r="K147" s="55"/>
    </x:row>
    <x:row r="148">
      <x:c r="K148" s="55"/>
    </x:row>
    <x:row r="149">
      <x:c r="K149" s="55"/>
    </x:row>
    <x:row r="150">
      <x:c r="K150" s="55"/>
    </x:row>
    <x:row r="151">
      <x:c r="K151" s="55"/>
    </x:row>
    <x:row r="152">
      <x:c r="K152" s="55"/>
    </x:row>
    <x:row r="153">
      <x:c r="K153" s="55"/>
    </x:row>
    <x:row r="154">
      <x:c r="K154" s="55"/>
    </x:row>
    <x:row r="155">
      <x:c r="K155" s="55"/>
    </x:row>
    <x:row r="156">
      <x:c r="K156" s="55"/>
    </x:row>
    <x:row r="157">
      <x:c r="K157" s="55"/>
    </x:row>
    <x:row r="158">
      <x:c r="K158" s="55"/>
    </x:row>
    <x:row r="159">
      <x:c r="K159" s="55"/>
    </x:row>
    <x:row r="160">
      <x:c r="K160" s="55"/>
    </x:row>
    <x:row r="161">
      <x:c r="K161" s="55"/>
    </x:row>
    <x:row r="162">
      <x:c r="K162" s="55"/>
    </x:row>
    <x:row r="163">
      <x:c r="K163" s="55"/>
    </x:row>
    <x:row r="164">
      <x:c r="K164" s="55"/>
    </x:row>
    <x:row r="165">
      <x:c r="K165" s="55"/>
    </x:row>
    <x:row r="166">
      <x:c r="K166" s="55"/>
    </x:row>
    <x:row r="167">
      <x:c r="K167" s="55"/>
    </x:row>
    <x:row r="168">
      <x:c r="K168" s="55"/>
    </x:row>
    <x:row r="169">
      <x:c r="K169" s="55"/>
    </x:row>
    <x:row r="170">
      <x:c r="K170" s="55"/>
    </x:row>
    <x:row r="171">
      <x:c r="K171" s="55"/>
    </x:row>
    <x:row r="172">
      <x:c r="K172" s="55"/>
    </x:row>
    <x:row r="173">
      <x:c r="K173" s="55"/>
    </x:row>
    <x:row r="174">
      <x:c r="K174" s="55"/>
    </x:row>
    <x:row r="175">
      <x:c r="K175" s="55"/>
    </x:row>
    <x:row r="176">
      <x:c r="K176" s="55"/>
    </x:row>
    <x:row r="177">
      <x:c r="K177" s="55"/>
    </x:row>
    <x:row r="178">
      <x:c r="K178" s="55"/>
    </x:row>
    <x:row r="179">
      <x:c r="K179" s="55"/>
    </x:row>
    <x:row r="180">
      <x:c r="K180" s="55"/>
    </x:row>
    <x:row r="181">
      <x:c r="K181" s="55"/>
    </x:row>
    <x:row r="182">
      <x:c r="K182" s="55"/>
    </x:row>
    <x:row r="183">
      <x:c r="K183" s="55"/>
    </x:row>
    <x:row r="184">
      <x:c r="K184" s="55"/>
    </x:row>
    <x:row r="185">
      <x:c r="K185" s="55"/>
    </x:row>
    <x:row r="186">
      <x:c r="K186" s="55"/>
    </x:row>
    <x:row r="187">
      <x:c r="K187" s="55"/>
    </x:row>
    <x:row r="188">
      <x:c r="K188" s="55"/>
    </x:row>
    <x:row r="189">
      <x:c r="K189" s="55"/>
    </x:row>
    <x:row r="190">
      <x:c r="K190" s="55"/>
    </x:row>
    <x:row r="191">
      <x:c r="K191" s="55"/>
    </x:row>
    <x:row r="192">
      <x:c r="K192" s="55"/>
    </x:row>
    <x:row r="193">
      <x:c r="K193" s="55"/>
    </x:row>
    <x:row r="194">
      <x:c r="K194" s="55"/>
    </x:row>
    <x:row r="195">
      <x:c r="K195" s="55"/>
    </x:row>
    <x:row r="196">
      <x:c r="K196" s="55"/>
    </x:row>
    <x:row r="197">
      <x:c r="K197" s="55"/>
    </x:row>
    <x:row r="198">
      <x:c r="K198" s="55"/>
    </x:row>
    <x:row r="199">
      <x:c r="K199" s="55"/>
    </x:row>
    <x:row r="200">
      <x:c r="K200" s="55"/>
    </x:row>
    <x:row r="201">
      <x:c r="K201" s="55"/>
    </x:row>
    <x:row r="202">
      <x:c r="K202" s="55"/>
    </x:row>
    <x:row r="203">
      <x:c r="K203" s="55"/>
    </x:row>
    <x:row r="204">
      <x:c r="K204" s="55"/>
    </x:row>
    <x:row r="205">
      <x:c r="K205" s="55"/>
    </x:row>
    <x:row r="206">
      <x:c r="K206" s="55"/>
    </x:row>
    <x:row r="207">
      <x:c r="K207" s="55"/>
    </x:row>
    <x:row r="208">
      <x:c r="K208" s="55"/>
    </x:row>
    <x:row r="209">
      <x:c r="K209" s="55"/>
    </x:row>
    <x:row r="210">
      <x:c r="K210" s="55"/>
    </x:row>
    <x:row r="211">
      <x:c r="K211" s="55"/>
    </x:row>
    <x:row r="212">
      <x:c r="K212" s="55"/>
    </x:row>
    <x:row r="213">
      <x:c r="K213" s="55"/>
    </x:row>
    <x:row r="214">
      <x:c r="K214" s="55"/>
    </x:row>
    <x:row r="215">
      <x:c r="K215" s="55"/>
    </x:row>
    <x:row r="216">
      <x:c r="K216" s="55"/>
    </x:row>
    <x:row r="217">
      <x:c r="K217" s="55"/>
    </x:row>
    <x:row r="218">
      <x:c r="K218" s="55"/>
    </x:row>
    <x:row r="219">
      <x:c r="K219" s="55"/>
    </x:row>
    <x:row r="220">
      <x:c r="K220" s="55"/>
    </x:row>
    <x:row r="221">
      <x:c r="K221" s="55"/>
    </x:row>
    <x:row r="222">
      <x:c r="K222" s="55"/>
    </x:row>
    <x:row r="223">
      <x:c r="K223" s="55"/>
    </x:row>
    <x:row r="224">
      <x:c r="K224" s="55"/>
    </x:row>
    <x:row r="225">
      <x:c r="K225" s="55"/>
    </x:row>
    <x:row r="226">
      <x:c r="K226" s="55"/>
    </x:row>
    <x:row r="227">
      <x:c r="K227" s="55"/>
    </x:row>
    <x:row r="228">
      <x:c r="K228" s="55"/>
    </x:row>
    <x:row r="229">
      <x:c r="K229" s="55"/>
    </x:row>
    <x:row r="230">
      <x:c r="K230" s="55"/>
    </x:row>
    <x:row r="231">
      <x:c r="K231" s="55"/>
    </x:row>
    <x:row r="232">
      <x:c r="K232" s="55"/>
    </x:row>
    <x:row r="233">
      <x:c r="K233" s="55"/>
    </x:row>
    <x:row r="234">
      <x:c r="K234" s="55"/>
    </x:row>
    <x:row r="235">
      <x:c r="K235" s="55"/>
    </x:row>
    <x:row r="236">
      <x:c r="K236" s="55"/>
    </x:row>
    <x:row r="237">
      <x:c r="K237" s="55"/>
    </x:row>
    <x:row r="238">
      <x:c r="K238" s="55"/>
    </x:row>
    <x:row r="239">
      <x:c r="K239" s="55"/>
    </x:row>
    <x:row r="240">
      <x:c r="K240" s="55"/>
    </x:row>
    <x:row r="241">
      <x:c r="K241" s="55"/>
    </x:row>
    <x:row r="242">
      <x:c r="K242" s="55"/>
    </x:row>
    <x:row r="243">
      <x:c r="K243" s="55"/>
    </x:row>
    <x:row r="244">
      <x:c r="K244" s="55"/>
    </x:row>
    <x:row r="245">
      <x:c r="K245" s="55"/>
    </x:row>
    <x:row r="246">
      <x:c r="K246" s="55"/>
    </x:row>
    <x:row r="247">
      <x:c r="K247" s="55"/>
    </x:row>
    <x:row r="248">
      <x:c r="K248" s="55"/>
    </x:row>
    <x:row r="249">
      <x:c r="K249" s="55"/>
    </x:row>
    <x:row r="250">
      <x:c r="K250" s="55"/>
    </x:row>
    <x:row r="251">
      <x:c r="K251" s="55"/>
    </x:row>
    <x:row r="252">
      <x:c r="K252" s="55"/>
    </x:row>
    <x:row r="253">
      <x:c r="K253" s="55"/>
    </x:row>
    <x:row r="254">
      <x:c r="K254" s="55"/>
    </x:row>
    <x:row r="255">
      <x:c r="K255" s="55"/>
    </x:row>
    <x:row r="256">
      <x:c r="K256" s="55"/>
    </x:row>
    <x:row r="257">
      <x:c r="K257" s="55"/>
    </x:row>
    <x:row r="258">
      <x:c r="K258" s="55"/>
    </x:row>
    <x:row r="259">
      <x:c r="K259" s="55"/>
    </x:row>
    <x:row r="260">
      <x:c r="K260" s="55"/>
    </x:row>
    <x:row r="261">
      <x:c r="K261" s="55"/>
    </x:row>
    <x:row r="262">
      <x:c r="K262" s="55"/>
    </x:row>
    <x:row r="263">
      <x:c r="K263" s="55"/>
    </x:row>
    <x:row r="264">
      <x:c r="K264" s="55"/>
    </x:row>
    <x:row r="265">
      <x:c r="K265" s="55"/>
    </x:row>
    <x:row r="266">
      <x:c r="K266" s="55"/>
    </x:row>
    <x:row r="267">
      <x:c r="K267" s="55"/>
    </x:row>
    <x:row r="268">
      <x:c r="K268" s="55"/>
    </x:row>
    <x:row r="269">
      <x:c r="K269" s="55"/>
    </x:row>
    <x:row r="270">
      <x:c r="K270" s="55"/>
    </x:row>
    <x:row r="271">
      <x:c r="K271" s="55"/>
    </x:row>
    <x:row r="272">
      <x:c r="K272" s="55"/>
    </x:row>
    <x:row r="273">
      <x:c r="K273" s="55"/>
    </x:row>
    <x:row r="274">
      <x:c r="K274" s="55"/>
    </x:row>
    <x:row r="275">
      <x:c r="K275" s="55"/>
    </x:row>
    <x:row r="276">
      <x:c r="K276" s="55"/>
    </x:row>
    <x:row r="277">
      <x:c r="K277" s="55"/>
    </x:row>
    <x:row r="278">
      <x:c r="K278" s="55"/>
    </x:row>
    <x:row r="279">
      <x:c r="K279" s="55"/>
    </x:row>
    <x:row r="280">
      <x:c r="K280" s="55"/>
    </x:row>
    <x:row r="281">
      <x:c r="K281" s="55"/>
    </x:row>
    <x:row r="282">
      <x:c r="K282" s="55"/>
    </x:row>
    <x:row r="283">
      <x:c r="K283" s="55"/>
    </x:row>
    <x:row r="284">
      <x:c r="K284" s="55"/>
    </x:row>
    <x:row r="285">
      <x:c r="K285" s="55"/>
    </x:row>
    <x:row r="286">
      <x:c r="K286" s="55"/>
    </x:row>
    <x:row r="287">
      <x:c r="K287" s="55"/>
    </x:row>
    <x:row r="288">
      <x:c r="K288" s="55"/>
    </x:row>
    <x:row r="289">
      <x:c r="K289" s="55"/>
    </x:row>
    <x:row r="290">
      <x:c r="K290" s="55"/>
    </x:row>
    <x:row r="291">
      <x:c r="K291" s="55"/>
    </x:row>
    <x:row r="292">
      <x:c r="K292" s="55"/>
    </x:row>
    <x:row r="293">
      <x:c r="K293" s="55"/>
    </x:row>
    <x:row r="294">
      <x:c r="K294" s="55"/>
    </x:row>
    <x:row r="295">
      <x:c r="K295" s="55"/>
    </x:row>
    <x:row r="296">
      <x:c r="K296" s="55"/>
    </x:row>
    <x:row r="297">
      <x:c r="K297" s="55"/>
    </x:row>
    <x:row r="298">
      <x:c r="K298" s="55"/>
    </x:row>
    <x:row r="299">
      <x:c r="K299" s="55"/>
    </x:row>
    <x:row r="300">
      <x:c r="K300" s="55"/>
    </x:row>
    <x:row r="301">
      <x:c r="K301" s="55"/>
    </x:row>
    <x:row r="302">
      <x:c r="K302" s="55"/>
    </x:row>
    <x:row r="303">
      <x:c r="K303" s="55"/>
    </x:row>
    <x:row r="304">
      <x:c r="K304" s="55"/>
    </x:row>
    <x:row r="305">
      <x:c r="K305" s="55"/>
    </x:row>
    <x:row r="306">
      <x:c r="K306" s="55"/>
    </x:row>
    <x:row r="307">
      <x:c r="K307" s="55"/>
    </x:row>
    <x:row r="308">
      <x:c r="K308" s="55"/>
    </x:row>
    <x:row r="309">
      <x:c r="K309" s="55"/>
    </x:row>
    <x:row r="310">
      <x:c r="K310" s="55"/>
    </x:row>
    <x:row r="311">
      <x:c r="K311" s="55"/>
    </x:row>
    <x:row r="312">
      <x:c r="K312" s="55"/>
    </x:row>
    <x:row r="313">
      <x:c r="K313" s="55"/>
    </x:row>
    <x:row r="314">
      <x:c r="K314" s="55"/>
    </x:row>
    <x:row r="315">
      <x:c r="K315" s="55"/>
    </x:row>
    <x:row r="316">
      <x:c r="K316" s="55"/>
    </x:row>
    <x:row r="317">
      <x:c r="K317" s="55"/>
    </x:row>
    <x:row r="318">
      <x:c r="K318" s="55"/>
    </x:row>
    <x:row r="319">
      <x:c r="K319" s="55"/>
    </x:row>
    <x:row r="320">
      <x:c r="K320" s="55"/>
    </x:row>
    <x:row r="321">
      <x:c r="K321" s="55"/>
    </x:row>
    <x:row r="322">
      <x:c r="K322" s="55"/>
    </x:row>
    <x:row r="323">
      <x:c r="K323" s="55"/>
    </x:row>
    <x:row r="324">
      <x:c r="K324" s="55"/>
    </x:row>
    <x:row r="325">
      <x:c r="K325" s="55"/>
    </x:row>
    <x:row r="326">
      <x:c r="K326" s="55"/>
    </x:row>
    <x:row r="327">
      <x:c r="K327" s="55"/>
    </x:row>
    <x:row r="328">
      <x:c r="K328" s="55"/>
    </x:row>
    <x:row r="329">
      <x:c r="K329" s="55"/>
    </x:row>
    <x:row r="330">
      <x:c r="K330" s="55"/>
    </x:row>
    <x:row r="331">
      <x:c r="K331" s="55"/>
    </x:row>
    <x:row r="332">
      <x:c r="K332" s="55"/>
    </x:row>
    <x:row r="333">
      <x:c r="K333" s="55"/>
    </x:row>
    <x:row r="334">
      <x:c r="K334" s="55"/>
    </x:row>
    <x:row r="335">
      <x:c r="K335" s="55"/>
    </x:row>
    <x:row r="336">
      <x:c r="K336" s="55"/>
    </x:row>
    <x:row r="337">
      <x:c r="K337" s="55"/>
    </x:row>
    <x:row r="338">
      <x:c r="K338" s="55"/>
    </x:row>
    <x:row r="339">
      <x:c r="K339" s="55"/>
    </x:row>
    <x:row r="340">
      <x:c r="K340" s="55"/>
    </x:row>
    <x:row r="341">
      <x:c r="K341" s="55"/>
    </x:row>
    <x:row r="342">
      <x:c r="K342" s="55"/>
    </x:row>
    <x:row r="343">
      <x:c r="K343" s="55"/>
    </x:row>
    <x:row r="344">
      <x:c r="K344" s="55"/>
    </x:row>
    <x:row r="345">
      <x:c r="K345" s="55"/>
    </x:row>
    <x:row r="346">
      <x:c r="K346" s="55"/>
    </x:row>
    <x:row r="347">
      <x:c r="K347" s="55"/>
    </x:row>
    <x:row r="348">
      <x:c r="K348" s="55"/>
    </x:row>
    <x:row r="349">
      <x:c r="K349" s="55"/>
    </x:row>
    <x:row r="350">
      <x:c r="K350" s="55"/>
    </x:row>
    <x:row r="351">
      <x:c r="K351" s="55"/>
    </x:row>
    <x:row r="352">
      <x:c r="K352" s="55"/>
    </x:row>
    <x:row r="353">
      <x:c r="K353" s="55"/>
    </x:row>
    <x:row r="354">
      <x:c r="K354" s="55"/>
    </x:row>
    <x:row r="355">
      <x:c r="K355" s="55"/>
    </x:row>
    <x:row r="356">
      <x:c r="K356" s="55"/>
    </x:row>
    <x:row r="357">
      <x:c r="K357" s="55"/>
    </x:row>
    <x:row r="358">
      <x:c r="K358" s="55"/>
    </x:row>
    <x:row r="359">
      <x:c r="K359" s="55"/>
    </x:row>
    <x:row r="360">
      <x:c r="K360" s="55"/>
    </x:row>
    <x:row r="361">
      <x:c r="K361" s="55"/>
    </x:row>
    <x:row r="362">
      <x:c r="K362" s="55"/>
    </x:row>
    <x:row r="363">
      <x:c r="K363" s="55"/>
    </x:row>
    <x:row r="364">
      <x:c r="K364" s="55"/>
    </x:row>
    <x:row r="365">
      <x:c r="K365" s="55"/>
    </x:row>
    <x:row r="366">
      <x:c r="K366" s="55"/>
    </x:row>
    <x:row r="367">
      <x:c r="K367" s="55"/>
    </x:row>
    <x:row r="368">
      <x:c r="K368" s="55"/>
    </x:row>
    <x:row r="369">
      <x:c r="K369" s="55"/>
    </x:row>
    <x:row r="370">
      <x:c r="K370" s="55"/>
    </x:row>
    <x:row r="371">
      <x:c r="K371" s="55"/>
    </x:row>
    <x:row r="372">
      <x:c r="K372" s="55"/>
    </x:row>
    <x:row r="373">
      <x:c r="K373" s="55"/>
    </x:row>
    <x:row r="374">
      <x:c r="K374" s="55"/>
    </x:row>
    <x:row r="375">
      <x:c r="K375" s="55"/>
    </x:row>
    <x:row r="376">
      <x:c r="K376" s="55"/>
    </x:row>
    <x:row r="377">
      <x:c r="K377" s="55"/>
    </x:row>
    <x:row r="378">
      <x:c r="K378" s="55"/>
    </x:row>
    <x:row r="379">
      <x:c r="K379" s="55"/>
    </x:row>
    <x:row r="380">
      <x:c r="K380" s="55"/>
    </x:row>
    <x:row r="381">
      <x:c r="K381" s="55"/>
    </x:row>
    <x:row r="382">
      <x:c r="K382" s="55"/>
    </x:row>
    <x:row r="383">
      <x:c r="K383" s="55"/>
    </x:row>
    <x:row r="384">
      <x:c r="K384" s="55"/>
    </x:row>
    <x:row r="385">
      <x:c r="K385" s="55"/>
    </x:row>
    <x:row r="386">
      <x:c r="K386" s="55"/>
    </x:row>
    <x:row r="387">
      <x:c r="K387" s="55"/>
    </x:row>
    <x:row r="388">
      <x:c r="K388" s="55"/>
    </x:row>
    <x:row r="389">
      <x:c r="K389" s="55"/>
    </x:row>
    <x:row r="390">
      <x:c r="K390" s="55"/>
    </x:row>
    <x:row r="391">
      <x:c r="K391" s="55"/>
    </x:row>
    <x:row r="392">
      <x:c r="K392" s="55"/>
    </x:row>
    <x:row r="393">
      <x:c r="K393" s="55"/>
    </x:row>
    <x:row r="394">
      <x:c r="K394" s="55"/>
    </x:row>
    <x:row r="395">
      <x:c r="K395" s="55"/>
    </x:row>
    <x:row r="396">
      <x:c r="K396" s="55"/>
    </x:row>
    <x:row r="397">
      <x:c r="K397" s="55"/>
    </x:row>
    <x:row r="398">
      <x:c r="K398" s="55"/>
    </x:row>
    <x:row r="399">
      <x:c r="K399" s="55"/>
    </x:row>
    <x:row r="400">
      <x:c r="K400" s="55"/>
    </x:row>
    <x:row r="401">
      <x:c r="K401" s="55"/>
    </x:row>
    <x:row r="402">
      <x:c r="K402" s="55"/>
    </x:row>
    <x:row r="403">
      <x:c r="K403" s="55"/>
    </x:row>
    <x:row r="404">
      <x:c r="K404" s="55"/>
    </x:row>
    <x:row r="405">
      <x:c r="K405" s="55"/>
    </x:row>
    <x:row r="406">
      <x:c r="K406" s="55"/>
    </x:row>
    <x:row r="407">
      <x:c r="K407" s="55"/>
    </x:row>
    <x:row r="408">
      <x:c r="K408" s="55"/>
    </x:row>
    <x:row r="409">
      <x:c r="K409" s="55"/>
    </x:row>
    <x:row r="410">
      <x:c r="K410" s="55"/>
    </x:row>
    <x:row r="411">
      <x:c r="K411" s="55"/>
    </x:row>
    <x:row r="412">
      <x:c r="K412" s="55"/>
    </x:row>
    <x:row r="413">
      <x:c r="K413" s="55"/>
    </x:row>
    <x:row r="414">
      <x:c r="K414" s="55"/>
    </x:row>
    <x:row r="415">
      <x:c r="K415" s="55"/>
    </x:row>
    <x:row r="416">
      <x:c r="K416" s="55"/>
    </x:row>
    <x:row r="417">
      <x:c r="K417" s="55"/>
    </x:row>
    <x:row r="418">
      <x:c r="K418" s="55"/>
    </x:row>
    <x:row r="419">
      <x:c r="K419" s="55"/>
    </x:row>
    <x:row r="420">
      <x:c r="K420" s="55"/>
    </x:row>
    <x:row r="421">
      <x:c r="K421" s="55"/>
    </x:row>
    <x:row r="422">
      <x:c r="K422" s="55"/>
    </x:row>
    <x:row r="423">
      <x:c r="K423" s="55"/>
    </x:row>
    <x:row r="424">
      <x:c r="K424" s="55"/>
    </x:row>
    <x:row r="425">
      <x:c r="K425" s="55"/>
    </x:row>
    <x:row r="426">
      <x:c r="K426" s="55"/>
    </x:row>
    <x:row r="427">
      <x:c r="K427" s="55"/>
    </x:row>
    <x:row r="428">
      <x:c r="K428" s="55"/>
    </x:row>
    <x:row r="429">
      <x:c r="K429" s="55"/>
    </x:row>
    <x:row r="430">
      <x:c r="K430" s="55"/>
    </x:row>
    <x:row r="431">
      <x:c r="K431" s="55"/>
    </x:row>
    <x:row r="432">
      <x:c r="K432" s="55"/>
    </x:row>
    <x:row r="433">
      <x:c r="K433" s="55"/>
    </x:row>
    <x:row r="434">
      <x:c r="K434" s="55"/>
    </x:row>
    <x:row r="435">
      <x:c r="K435" s="55"/>
    </x:row>
    <x:row r="436">
      <x:c r="K436" s="55"/>
    </x:row>
    <x:row r="437">
      <x:c r="K437" s="55"/>
    </x:row>
    <x:row r="438">
      <x:c r="K438" s="55"/>
    </x:row>
    <x:row r="439">
      <x:c r="K439" s="55"/>
    </x:row>
    <x:row r="440">
      <x:c r="K440" s="55"/>
    </x:row>
    <x:row r="441">
      <x:c r="K441" s="55"/>
    </x:row>
    <x:row r="442">
      <x:c r="K442" s="55"/>
    </x:row>
    <x:row r="443">
      <x:c r="K443" s="55"/>
    </x:row>
    <x:row r="444">
      <x:c r="K444" s="55"/>
    </x:row>
    <x:row r="445">
      <x:c r="K445" s="55"/>
    </x:row>
    <x:row r="446">
      <x:c r="K446" s="55"/>
    </x:row>
    <x:row r="447">
      <x:c r="K447" s="55"/>
    </x:row>
    <x:row r="448">
      <x:c r="K448" s="55"/>
    </x:row>
    <x:row r="449">
      <x:c r="K449" s="55"/>
    </x:row>
    <x:row r="450">
      <x:c r="K450" s="55"/>
    </x:row>
    <x:row r="451">
      <x:c r="K451" s="55"/>
    </x:row>
    <x:row r="452">
      <x:c r="K452" s="55"/>
    </x:row>
    <x:row r="453">
      <x:c r="K453" s="55"/>
    </x:row>
    <x:row r="454">
      <x:c r="K454" s="55"/>
    </x:row>
    <x:row r="455">
      <x:c r="K455" s="55"/>
    </x:row>
    <x:row r="456">
      <x:c r="K456" s="55"/>
    </x:row>
    <x:row r="457">
      <x:c r="K457" s="55"/>
    </x:row>
    <x:row r="458">
      <x:c r="K458" s="55"/>
    </x:row>
    <x:row r="459">
      <x:c r="K459" s="55"/>
    </x:row>
    <x:row r="460">
      <x:c r="K460" s="55"/>
    </x:row>
    <x:row r="461">
      <x:c r="K461" s="55"/>
    </x:row>
    <x:row r="462">
      <x:c r="K462" s="55"/>
    </x:row>
    <x:row r="463">
      <x:c r="K463" s="55"/>
    </x:row>
    <x:row r="464">
      <x:c r="K464" s="55"/>
    </x:row>
    <x:row r="465">
      <x:c r="K465" s="55"/>
    </x:row>
    <x:row r="466">
      <x:c r="K466" s="55"/>
    </x:row>
    <x:row r="467">
      <x:c r="K467" s="55"/>
    </x:row>
    <x:row r="468">
      <x:c r="K468" s="55"/>
    </x:row>
    <x:row r="469">
      <x:c r="K469" s="55"/>
    </x:row>
    <x:row r="470">
      <x:c r="K470" s="55"/>
    </x:row>
    <x:row r="471">
      <x:c r="K471" s="55"/>
    </x:row>
    <x:row r="472">
      <x:c r="K472" s="55"/>
    </x:row>
    <x:row r="473">
      <x:c r="K473" s="55"/>
    </x:row>
    <x:row r="474">
      <x:c r="K474" s="55"/>
    </x:row>
    <x:row r="475">
      <x:c r="K475" s="55"/>
    </x:row>
    <x:row r="476">
      <x:c r="K476" s="55"/>
    </x:row>
    <x:row r="477">
      <x:c r="K477" s="55"/>
    </x:row>
    <x:row r="478">
      <x:c r="K478" s="55"/>
    </x:row>
    <x:row r="479">
      <x:c r="K479" s="55"/>
    </x:row>
    <x:row r="480">
      <x:c r="K480" s="55"/>
    </x:row>
    <x:row r="481">
      <x:c r="K481" s="55"/>
    </x:row>
    <x:row r="482">
      <x:c r="K482" s="55"/>
    </x:row>
    <x:row r="483">
      <x:c r="K483" s="55"/>
    </x:row>
    <x:row r="484">
      <x:c r="K484" s="55"/>
    </x:row>
    <x:row r="485">
      <x:c r="K485" s="55"/>
    </x:row>
    <x:row r="486">
      <x:c r="K486" s="55"/>
    </x:row>
    <x:row r="487">
      <x:c r="K487" s="55"/>
    </x:row>
    <x:row r="488">
      <x:c r="K488" s="55"/>
    </x:row>
    <x:row r="489">
      <x:c r="K489" s="55"/>
    </x:row>
    <x:row r="490">
      <x:c r="K490" s="55"/>
    </x:row>
    <x:row r="491">
      <x:c r="K491" s="55"/>
    </x:row>
    <x:row r="492">
      <x:c r="K492" s="55"/>
    </x:row>
    <x:row r="493">
      <x:c r="K493" s="55"/>
    </x:row>
    <x:row r="494">
      <x:c r="K494" s="55"/>
    </x:row>
    <x:row r="495">
      <x:c r="K495" s="55"/>
    </x:row>
    <x:row r="496">
      <x:c r="K496" s="55"/>
    </x:row>
    <x:row r="497">
      <x:c r="K497" s="55"/>
    </x:row>
    <x:row r="498">
      <x:c r="K498" s="55"/>
    </x:row>
    <x:row r="499">
      <x:c r="K499" s="55"/>
    </x:row>
    <x:row r="500">
      <x:c r="K500" s="55"/>
    </x:row>
  </x:sheetData>
  <x:conditionalFormatting sqref="F2:F142">
    <x:cfRule type="expression" dxfId="0" priority="1">
      <x:formula>OR(LEFT(F2,8)="Verified",LEFT(F2,6)="Public")</x:formula>
    </x:cfRule>
    <x:cfRule type="expression" dxfId="1" priority="2">
      <x:formula>F2="Ordering portal not publicly verified"</x:formula>
    </x:cfRule>
    <x:cfRule type="expression" dxfId="2" priority="3">
      <x:formula>OR(LEFT(F2,7)="Network",LEFT(F2,6)="Closed")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29cc1d929c1d49c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8" hidden="0" customWidth="1"/>
    <x:col min="3" max="3" width="55" hidden="0" customWidth="1"/>
    <x:col min="4" max="4" width="55" hidden="0" customWidth="1"/>
  </x:cols>
  <x:sheetData>
    <x:row r="1" ht="30" customHeight="1">
      <x:c r="A1" s="18" t="str">
        <x:v>Source</x:v>
      </x:c>
      <x:c r="B1" s="18" t="str">
        <x:v>URL</x:v>
      </x:c>
      <x:c r="C1" s="18" t="str">
        <x:v>Coverage / Use</x:v>
      </x:c>
      <x:c r="D1" s="18" t="str">
        <x:v>Limitations</x:v>
      </x:c>
    </x:row>
    <x:row r="2">
      <x:c r="A2" s="27" t="str">
        <x:v>IFDA Distributor Members</x:v>
      </x:c>
      <x:c r="B2" s="27" t="str">
        <x:v>https://ifdaonline.org/distributor-members/</x:v>
      </x:c>
      <x:c r="C2" s="27" t="str">
        <x:v>Primary company seed list and official company website links.</x:v>
      </x:c>
      <x:c r="D2" s="27" t="str">
        <x:v>Membership list; not every U.S. distributor and includes some non-U.S. members.</x:v>
      </x:c>
    </x:row>
    <x:row r="3">
      <x:c r="A3" s="27" t="str">
        <x:v>IFDA Industry Facts</x:v>
      </x:c>
      <x:c r="B3" s="27" t="str">
        <x:v>https://ifdaonline.org/industry-facts/</x:v>
      </x:c>
      <x:c r="C3" s="27" t="str">
        <x:v>Industry scale benchmark: approximately 17,100 U.S. facilities.</x:v>
      </x:c>
      <x:c r="D3" s="27" t="str">
        <x:v>Facility count is not a public company directory.</x:v>
      </x:c>
    </x:row>
    <x:row r="4">
      <x:c r="A4" s="27" t="str">
        <x:v>UniPro Distributor Directory</x:v>
      </x:c>
      <x:c r="B4" s="27" t="str">
        <x:v>https://www.uniprofoodservice.com/distributors/directory</x:v>
      </x:c>
      <x:c r="C4" s="27" t="str">
        <x:v>Largest independent distributor network; 400+ member HQs and 1,100+ locations.</x:v>
      </x:c>
      <x:c r="D4" s="27" t="str">
        <x:v>Search is location/radius driven; no simple complete public export.</x:v>
      </x:c>
    </x:row>
    <x:row r="5">
      <x:c r="A5" s="27" t="str">
        <x:v>Frosty Acres Find a Member</x:v>
      </x:c>
      <x:c r="B5" s="27" t="str">
        <x:v>https://frostyacres.com/distributors</x:v>
      </x:c>
      <x:c r="C5" s="27" t="str">
        <x:v>Independent distributor cooperative with state-based lookup.</x:v>
      </x:c>
      <x:c r="D5" s="27" t="str">
        <x:v>Interactive state map; requires systematic state-by-state extraction.</x:v>
      </x:c>
    </x:row>
    <x:row r="6">
      <x:c r="A6" s="27" t="str">
        <x:v>Golbon Distributors</x:v>
      </x:c>
      <x:c r="B6" s="27" t="str">
        <x:v>https://golbon.com/distributors/</x:v>
      </x:c>
      <x:c r="C6" s="27" t="str">
        <x:v>Independent broadline, specialty, produce, protein and non-food distributors.</x:v>
      </x:c>
      <x:c r="D6" s="27" t="str">
        <x:v>Public page does not expose a clean complete downloadable table.</x:v>
      </x:c>
    </x:row>
    <x:row r="7">
      <x:c r="A7" s="27" t="str">
        <x:v>FoodSupplier Directory</x:v>
      </x:c>
      <x:c r="B7" s="27" t="str">
        <x:v>https://foodsupplier.com/foodservice-distributor-directory</x:v>
      </x:c>
      <x:c r="C7" s="27" t="str">
        <x:v>Supplemental discovery source for smaller purveyors.</x:v>
      </x:c>
      <x:c r="D7" s="27" t="str">
        <x:v>Directory quality and freshness vary; each company must be independently verified.</x:v>
      </x:c>
    </x:row>
    <x:row r="8">
      <x:c r="A8" s="27" t="str">
        <x:v>Thomasnet Food Products</x:v>
      </x:c>
      <x:c r="B8" s="27" t="str">
        <x:v>https://www.thomasnet.com/suppliers/usa/food-products-30772305</x:v>
      </x:c>
      <x:c r="C8" s="27" t="str">
        <x:v>Supplemental specialty/manufacturer/distributor discovery.</x:v>
      </x:c>
      <x:c r="D8" s="27" t="str">
        <x:v>Mixes manufacturers and distributors; not restaurant-foodservice specific.</x:v>
      </x:c>
    </x:row>
    <x:row r="9">
      <x:c r="A9" s="27" t="str">
        <x:v>Cash-Wa Service Territory</x:v>
      </x:c>
      <x:c r="B9" s="27" t="str">
        <x:v>https://web.cashwa.com</x:v>
      </x:c>
      <x:c r="C9" s="27" t="str">
        <x:v>Published central U.S. multi-state footprint used for state matching.</x:v>
      </x:c>
      <x:c r="D9" s="27" t="str">
        <x:v>Exact delivery remains route/ZIP dependent.</x:v>
      </x:c>
    </x:row>
    <x:row r="10">
      <x:c r="A10" s="27" t="str">
        <x:v>Curtze Food Service</x:v>
      </x:c>
      <x:c r="B10" s="27" t="str">
        <x:v>https://www.curtze.com</x:v>
      </x:c>
      <x:c r="C10" s="27" t="str">
        <x:v>Published nine-state service footprint.</x:v>
      </x:c>
      <x:c r="D10" s="27" t="str">
        <x:v>State presence may still be partial.</x:v>
      </x:c>
    </x:row>
    <x:row r="11">
      <x:c r="A11" s="27" t="str">
        <x:v>Shamrock Locations</x:v>
      </x:c>
      <x:c r="B11" s="27" t="str">
        <x:v>https://www.shamrockfoodservice.com/locations/</x:v>
      </x:c>
      <x:c r="C11" s="27" t="str">
        <x:v>Official western U.S. facilities and service states.</x:v>
      </x:c>
      <x:c r="D11" s="27" t="str">
        <x:v>Some states have partial territory.</x:v>
      </x:c>
    </x:row>
    <x:row r="12">
      <x:c r="A12" s="27" t="str">
        <x:v>Upper Lakes Facilities &amp; Territory</x:v>
      </x:c>
      <x:c r="B12" s="27" t="str">
        <x:v>https://upperlakesfoods.com/about/facilities-territory/</x:v>
      </x:c>
      <x:c r="C12" s="27" t="str">
        <x:v>Official seven-state/territory description.</x:v>
      </x:c>
      <x:c r="D12" s="27" t="str">
        <x:v>Michigan limited to the Upper Peninsula.</x:v>
      </x:c>
    </x:row>
    <x:row r="13">
      <x:c r="A13" s="27" t="str">
        <x:v>What Chefs Want Regions</x:v>
      </x:c>
      <x:c r="B13" s="27" t="str">
        <x:v>https://www.whatchefswant.com/regions/</x:v>
      </x:c>
      <x:c r="C13" s="27" t="str">
        <x:v>Official 12-state footprint and distribution-center summary.</x:v>
      </x:c>
      <x:c r="D13" s="27" t="str">
        <x:v>Service is in selected cities/routes.</x:v>
      </x:c>
    </x:row>
    <x:row r="14">
      <x:c r="A14" s="27" t="str">
        <x:v>Wood Fruitticher Service Area</x:v>
      </x:c>
      <x:c r="B14" s="27" t="str">
        <x:v>https://www.woodfruitticher.com/about/foodservice-distributor/</x:v>
      </x:c>
      <x:c r="C14" s="27" t="str">
        <x:v>Official five-state Southeast service area.</x:v>
      </x:c>
      <x:c r="D14" s="27" t="str">
        <x:v>Confirm delivery route by ZIP.</x:v>
      </x:c>
    </x:row>
    <x:row r="15">
      <x:c r="A15" s="27" t="str">
        <x:v>Baldor Services</x:v>
      </x:c>
      <x:c r="B15" s="27" t="str">
        <x:v>https://www.baldorfood.com/services</x:v>
      </x:c>
      <x:c r="C15" s="27" t="str">
        <x:v>Official Northeast and Mid-Atlantic delivery-region description.</x:v>
      </x:c>
      <x:c r="D15" s="27" t="str">
        <x:v>Regional statement is broader than exact ZIP coverage.</x:v>
      </x:c>
    </x:row>
    <x:row r="16">
      <x:c r="A16" s="27" t="str">
        <x:v>SGC About / Territory</x:v>
      </x:c>
      <x:c r="B16" s="27" t="str">
        <x:v>https://www.sgcfoodservice.com/about/</x:v>
      </x:c>
      <x:c r="C16" s="27" t="str">
        <x:v>Official named Midwest market corridor.</x:v>
      </x:c>
      <x:c r="D16" s="27" t="str">
        <x:v>State codes approximate the named cities.</x:v>
      </x:c>
    </x:row>
    <x:row r="17">
      <x:c r="A17" s="27" t="str">
        <x:v>Van Eerden History / Facilities</x:v>
      </x:c>
      <x:c r="B17" s="27" t="str">
        <x:v>https://www.vaneerden.com/our-story/</x:v>
      </x:c>
      <x:c r="C17" s="27" t="str">
        <x:v>Official Michigan and Indiana facility information.</x:v>
      </x:c>
      <x:c r="D17" s="27" t="str">
        <x:v>Broader Midwest delivery territory not fully enumerated.</x:v>
      </x:c>
    </x:row>
    <x:row r="18">
      <x:c r="A18" s="27" t="str">
        <x:v>Geography verification method</x:v>
      </x:c>
      <x:c r="B18" s="27" t="str">
        <x:v>https://ifdaonline.org/distributor-members/</x:v>
      </x:c>
      <x:c r="C18" s="27" t="str">
        <x:v>Association directory used as the base registry; service areas verified from distributor sites where available.</x:v>
      </x:c>
      <x:c r="D18" s="27" t="str">
        <x:v>Association membership is not a territory guarantee.</x:v>
      </x:c>
    </x:row>
  </x:sheetData>
  <x:pageMargins left="0.7" right="0.7" top="0.75" bottom="0.75" header="0.3" footer="0.3"/>
  <x:tableParts count="1">
    <x:tablePart xmlns:r="http://schemas.openxmlformats.org/officeDocument/2006/relationships" r:id="R045b0ce3b274439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0" hidden="0" customWidth="1"/>
    <x:col min="3" max="3" width="25" hidden="0" customWidth="1"/>
    <x:col min="4" max="4" width="42" hidden="0" customWidth="1"/>
    <x:col min="5" max="5" width="58" hidden="0" customWidth="1"/>
    <x:col min="6" max="6" width="28" hidden="0" customWidth="1"/>
    <x:col min="7" max="7" width="50" hidden="0" customWidth="1"/>
    <x:col min="8" max="8" width="12" hidden="0" customWidth="1"/>
    <x:col min="9" max="9" width="58" hidden="0" customWidth="1"/>
    <x:col min="10" max="10" width="13" hidden="0" customWidth="1"/>
    <x:col min="11" max="11" width="18" hidden="0" customWidth="1"/>
  </x:cols>
  <x:sheetData>
    <x:row r="1" ht="36" customHeight="1">
      <x:c r="A1" s="63" t="str">
        <x:v>Purveyor</x:v>
      </x:c>
      <x:c r="B1" s="63" t="str">
        <x:v>Coverage Tier</x:v>
      </x:c>
      <x:c r="C1" s="63" t="str">
        <x:v>Primary Region</x:v>
      </x:c>
      <x:c r="D1" s="63" t="str">
        <x:v>States / Territories Served</x:v>
      </x:c>
      <x:c r="E1" s="63" t="str">
        <x:v>Metro / Detailed Area</x:v>
      </x:c>
      <x:c r="F1" s="63" t="str">
        <x:v>State Match Codes</x:v>
      </x:c>
      <x:c r="G1" s="63" t="str">
        <x:v>Geography Source</x:v>
      </x:c>
      <x:c r="H1" s="63" t="str">
        <x:v>Confidence</x:v>
      </x:c>
      <x:c r="I1" s="63" t="str">
        <x:v>Coverage Notes</x:v>
      </x:c>
      <x:c r="J1" s="63" t="str">
        <x:v>Verified On</x:v>
      </x:c>
      <x:c r="K1" s="63" t="str">
        <x:v>Match Selected State?</x:v>
      </x:c>
    </x:row>
    <x:row r="2">
      <x:c r="A2" s="27" t="str">
        <x:v>A.F. Wendling's Food Service</x:v>
      </x:c>
      <x:c r="B2" s="27" t="str">
        <x:v>Regional</x:v>
      </x:c>
      <x:c r="C2" s="27" t="str">
        <x:v>Appalachia / Mid-Atlantic</x:v>
      </x:c>
      <x:c r="D2" s="27" t="str">
        <x:v>West Virginia, Virginia, Pennsylvania</x:v>
      </x:c>
      <x:c r="E2" s="27" t="str">
        <x:v>West Virginia, Virginia and western Pennsylvania; confirm neighboring-state ZIPs.</x:v>
      </x:c>
      <x:c r="F2" s="27" t="str">
        <x:v>WV,VA,PA</x:v>
      </x:c>
      <x:c r="G2" s="27" t="str">
        <x:v>https://www.afwendling.com</x:v>
      </x:c>
      <x:c r="H2" s="27" t="str">
        <x:v>High</x:v>
      </x:c>
      <x:c r="I2" s="27" t="str">
        <x:v>State matching is conservative; the company also references nearby markets.</x:v>
      </x:c>
      <x:c r="J2" s="54" t="n">
        <x:v>46217</x:v>
      </x:c>
      <x:c r="K2" s="27" t="str">
        <x:f>IF('Read Me'!$E$13="","",IF(OR($B2="National",$B2="Online nationwide",ISNUMBER(SEARCH(","&amp;'Read Me'!$E$13&amp;",",","&amp;$F2&amp;","))),"MATCH",""))</x:f>
      </x:c>
    </x:row>
    <x:row r="3">
      <x:c r="A3" s="27" t="str">
        <x:v>Ace Endico Corp.</x:v>
      </x:c>
      <x:c r="B3" s="27" t="str">
        <x:v>Multi-regional</x:v>
      </x:c>
      <x:c r="C3" s="27" t="str">
        <x:v>Northeast</x:v>
      </x:c>
      <x:c r="D3" s="27" t="str">
        <x:v>Maine, New Hampshire, Vermont, Massachusetts, Rhode Island, Connecticut, New York, New Jersey, Pennsylvania</x:v>
      </x:c>
      <x:c r="E3" s="27" t="str">
        <x:v>New England through the New York tri-state area and Philadelphia corridor.</x:v>
      </x:c>
      <x:c r="F3" s="27" t="str">
        <x:v>ME,NH,VT,MA,RI,CT,NY,NJ,PA</x:v>
      </x:c>
      <x:c r="G3" s="27" t="str">
        <x:v>https://www.aceendico.com</x:v>
      </x:c>
      <x:c r="H3" s="27" t="str">
        <x:v>High</x:v>
      </x:c>
      <x:c r="I3" s="27" t="str"/>
      <x:c r="J3" s="54" t="n">
        <x:v>46217</x:v>
      </x:c>
      <x:c r="K3" s="27" t="str">
        <x:f>IF('Read Me'!$E$13="","",IF(OR($B3="National",$B3="Online nationwide",ISNUMBER(SEARCH(","&amp;'Read Me'!$E$13&amp;",",","&amp;$F3&amp;","))),"MATCH",""))</x:f>
      </x:c>
    </x:row>
    <x:row r="4">
      <x:c r="A4" s="27" t="str">
        <x:v>AMCON Distributing Company</x:v>
      </x:c>
      <x:c r="B4" s="27" t="str">
        <x:v>Multi-regional</x:v>
      </x:c>
      <x:c r="C4" s="27" t="str">
        <x:v>Central / Mountain / Southeast</x:v>
      </x:c>
      <x:c r="D4" s="27" t="str"/>
      <x:c r="E4" s="27" t="str">
        <x:v>Multi-state convenience distribution; exact current customer territory should be validated by ZIP.</x:v>
      </x:c>
      <x:c r="F4" s="27" t="str"/>
      <x:c r="G4" s="27" t="str">
        <x:v>https://www.amcon.com</x:v>
      </x:c>
      <x:c r="H4" s="27" t="str">
        <x:v>Low</x:v>
      </x:c>
      <x:c r="I4" s="27" t="str">
        <x:v>Not auto-matched until an official current state list is confirmed.</x:v>
      </x:c>
      <x:c r="J4" s="54" t="n">
        <x:v>46217</x:v>
      </x:c>
      <x:c r="K4" s="27" t="str">
        <x:f>IF('Read Me'!$E$13="","",IF(OR($B4="National",$B4="Online nationwide",ISNUMBER(SEARCH(","&amp;'Read Me'!$E$13&amp;",",","&amp;$F4&amp;","))),"MATCH",""))</x:f>
      </x:c>
    </x:row>
    <x:row r="5">
      <x:c r="A5" s="27" t="str">
        <x:v>Atlas Wholesale Food Co.</x:v>
      </x:c>
      <x:c r="B5" s="27" t="str">
        <x:v>Regional</x:v>
      </x:c>
      <x:c r="C5" s="27" t="str">
        <x:v>Great Lakes</x:v>
      </x:c>
      <x:c r="D5" s="27" t="str">
        <x:v>Michigan</x:v>
      </x:c>
      <x:c r="E5" s="27" t="str">
        <x:v>Michigan-centered foodservice distribution.</x:v>
      </x:c>
      <x:c r="F5" s="27" t="str">
        <x:v>MI</x:v>
      </x:c>
      <x:c r="G5" s="27" t="str">
        <x:v>https://www.atlaswholesale.com</x:v>
      </x:c>
      <x:c r="H5" s="27" t="str">
        <x:v>Low</x:v>
      </x:c>
      <x:c r="I5" s="27" t="str"/>
      <x:c r="J5" s="54" t="n">
        <x:v>46217</x:v>
      </x:c>
      <x:c r="K5" s="27" t="str">
        <x:f>IF('Read Me'!$E$13="","",IF(OR($B5="National",$B5="Online nationwide",ISNUMBER(SEARCH(","&amp;'Read Me'!$E$13&amp;",",","&amp;$F5&amp;","))),"MATCH",""))</x:f>
      </x:c>
    </x:row>
    <x:row r="6">
      <x:c r="A6" s="27" t="str">
        <x:v>Avalon Foodservice, Inc.</x:v>
      </x:c>
      <x:c r="B6" s="27" t="str">
        <x:v>Regional</x:v>
      </x:c>
      <x:c r="C6" s="27" t="str">
        <x:v>Great Lakes / Appalachia</x:v>
      </x:c>
      <x:c r="D6" s="27" t="str">
        <x:v>Ohio, Pennsylvania, West Virginia</x:v>
      </x:c>
      <x:c r="E6" s="27" t="str">
        <x:v>Ohio-centered regional distributor; delivery boundaries vary by route.</x:v>
      </x:c>
      <x:c r="F6" s="27" t="str">
        <x:v>OH,PA,WV</x:v>
      </x:c>
      <x:c r="G6" s="27" t="str">
        <x:v>https://www.avalonfoods.com</x:v>
      </x:c>
      <x:c r="H6" s="27" t="str">
        <x:v>Medium</x:v>
      </x:c>
      <x:c r="I6" s="27" t="str"/>
      <x:c r="J6" s="54" t="n">
        <x:v>46217</x:v>
      </x:c>
      <x:c r="K6" s="27" t="str">
        <x:f>IF('Read Me'!$E$13="","",IF(OR($B6="National",$B6="Online nationwide",ISNUMBER(SEARCH(","&amp;'Read Me'!$E$13&amp;",",","&amp;$F6&amp;","))),"MATCH",""))</x:f>
      </x:c>
    </x:row>
    <x:row r="7">
      <x:c r="A7" s="27" t="str">
        <x:v>Baily Foodservice</x:v>
      </x:c>
      <x:c r="B7" s="27" t="str">
        <x:v>Regional</x:v>
      </x:c>
      <x:c r="C7" s="27" t="str">
        <x:v>Southeast</x:v>
      </x:c>
      <x:c r="D7" s="27" t="str">
        <x:v>Georgia</x:v>
      </x:c>
      <x:c r="E7" s="27" t="str">
        <x:v>Atlanta / Georgia-centered foodservice distribution.</x:v>
      </x:c>
      <x:c r="F7" s="27" t="str">
        <x:v>GA</x:v>
      </x:c>
      <x:c r="G7" s="27" t="str">
        <x:v>https://www.bailyatl.com</x:v>
      </x:c>
      <x:c r="H7" s="27" t="str">
        <x:v>Low</x:v>
      </x:c>
      <x:c r="I7" s="27" t="str"/>
      <x:c r="J7" s="54" t="n">
        <x:v>46217</x:v>
      </x:c>
      <x:c r="K7" s="27" t="str">
        <x:f>IF('Read Me'!$E$13="","",IF(OR($B7="National",$B7="Online nationwide",ISNUMBER(SEARCH(","&amp;'Read Me'!$E$13&amp;",",","&amp;$F7&amp;","))),"MATCH",""))</x:f>
      </x:c>
    </x:row>
    <x:row r="8">
      <x:c r="A8" s="27" t="str">
        <x:v>Balford</x:v>
      </x:c>
      <x:c r="B8" s="27" t="str">
        <x:v>Regional</x:v>
      </x:c>
      <x:c r="C8" s="27" t="str">
        <x:v>Mid-Atlantic</x:v>
      </x:c>
      <x:c r="D8" s="27" t="str">
        <x:v>Pennsylvania, New Jersey, Delaware, Maryland</x:v>
      </x:c>
      <x:c r="E8" s="27" t="str">
        <x:v>Mid-Atlantic dairy and foodservice distribution.</x:v>
      </x:c>
      <x:c r="F8" s="27" t="str">
        <x:v>PA,NJ,DE,MD</x:v>
      </x:c>
      <x:c r="G8" s="27" t="str">
        <x:v>https://www.balford.com</x:v>
      </x:c>
      <x:c r="H8" s="27" t="str">
        <x:v>Low</x:v>
      </x:c>
      <x:c r="I8" s="27" t="str"/>
      <x:c r="J8" s="54" t="n">
        <x:v>46217</x:v>
      </x:c>
      <x:c r="K8" s="27" t="str">
        <x:f>IF('Read Me'!$E$13="","",IF(OR($B8="National",$B8="Online nationwide",ISNUMBER(SEARCH(","&amp;'Read Me'!$E$13&amp;",",","&amp;$F8&amp;","))),"MATCH",""))</x:f>
      </x:c>
    </x:row>
    <x:row r="9">
      <x:c r="A9" s="27" t="str">
        <x:v>Ben E. Keith Foods</x:v>
      </x:c>
      <x:c r="B9" s="27" t="str">
        <x:v>Multi-regional</x:v>
      </x:c>
      <x:c r="C9" s="27" t="str">
        <x:v>South / Southwest</x:v>
      </x:c>
      <x:c r="D9" s="27" t="str">
        <x:v>Alabama, Arkansas, Arizona, Florida, Georgia, Kansas, Louisiana, Missouri, Mississippi, New Mexico, Oklahoma, South Carolina, Tennessee, Texas</x:v>
      </x:c>
      <x:c r="E9" s="27" t="str">
        <x:v>Large southern and southwestern footprint; some states are served only in defined portions.</x:v>
      </x:c>
      <x:c r="F9" s="27" t="str">
        <x:v>AL,AR,AZ,FL,GA,KS,LA,MO,MS,NM,OK,SC,TN,TX</x:v>
      </x:c>
      <x:c r="G9" s="27" t="str">
        <x:v>https://www.benekeith.com/food/locations/</x:v>
      </x:c>
      <x:c r="H9" s="27" t="str">
        <x:v>High</x:v>
      </x:c>
      <x:c r="I9" s="27" t="str">
        <x:v>Confirm the customer's ZIP against the appropriate division.</x:v>
      </x:c>
      <x:c r="J9" s="54" t="n">
        <x:v>46217</x:v>
      </x:c>
      <x:c r="K9" s="27" t="str">
        <x:f>IF('Read Me'!$E$13="","",IF(OR($B9="National",$B9="Online nationwide",ISNUMBER(SEARCH(","&amp;'Read Me'!$E$13&amp;",",","&amp;$F9&amp;","))),"MATCH",""))</x:f>
        <x:v>MATCH</x:v>
      </x:c>
    </x:row>
    <x:row r="10">
      <x:c r="A10" s="27" t="str">
        <x:v>BiRite Foodservice Distributors</x:v>
      </x:c>
      <x:c r="B10" s="27" t="str">
        <x:v>Regional</x:v>
      </x:c>
      <x:c r="C10" s="27" t="str">
        <x:v>Northern California</x:v>
      </x:c>
      <x:c r="D10" s="27" t="str">
        <x:v>California</x:v>
      </x:c>
      <x:c r="E10" s="27" t="str">
        <x:v>Greater Bay Area and Northern California, approximately Cloverdale to Monterey.</x:v>
      </x:c>
      <x:c r="F10" s="27" t="str">
        <x:v>CA</x:v>
      </x:c>
      <x:c r="G10" s="27" t="str">
        <x:v>https://birite.com</x:v>
      </x:c>
      <x:c r="H10" s="27" t="str">
        <x:v>High</x:v>
      </x:c>
      <x:c r="I10" s="27" t="str"/>
      <x:c r="J10" s="54" t="n">
        <x:v>46217</x:v>
      </x:c>
      <x:c r="K10" s="27" t="str">
        <x:f>IF('Read Me'!$E$13="","",IF(OR($B10="National",$B10="Online nationwide",ISNUMBER(SEARCH(","&amp;'Read Me'!$E$13&amp;",",","&amp;$F10&amp;","))),"MATCH",""))</x:f>
      </x:c>
    </x:row>
    <x:row r="11">
      <x:c r="A11" s="27" t="str">
        <x:v>Brown Foodservice, Inc.</x:v>
      </x:c>
      <x:c r="B11" s="27" t="str">
        <x:v>Regional</x:v>
      </x:c>
      <x:c r="C11" s="27" t="str">
        <x:v>Appalachia / Ohio Valley</x:v>
      </x:c>
      <x:c r="D11" s="27" t="str">
        <x:v>Kentucky, West Virginia, Ohio, Virginia, Tennessee, Indiana</x:v>
      </x:c>
      <x:c r="E11" s="27" t="str">
        <x:v>Kentucky-centered regional footprint; company reports a multi-state service area.</x:v>
      </x:c>
      <x:c r="F11" s="27" t="str">
        <x:v>KY,WV,OH,VA,TN,IN</x:v>
      </x:c>
      <x:c r="G11" s="27" t="str">
        <x:v>https://www.brownfoodservice.com</x:v>
      </x:c>
      <x:c r="H11" s="27" t="str">
        <x:v>Low</x:v>
      </x:c>
      <x:c r="I11" s="27" t="str">
        <x:v>Exact route coverage should be verified before recommending.</x:v>
      </x:c>
      <x:c r="J11" s="54" t="n">
        <x:v>46217</x:v>
      </x:c>
      <x:c r="K11" s="27" t="str">
        <x:f>IF('Read Me'!$E$13="","",IF(OR($B11="National",$B11="Online nationwide",ISNUMBER(SEARCH(","&amp;'Read Me'!$E$13&amp;",",","&amp;$F11&amp;","))),"MATCH",""))</x:f>
      </x:c>
    </x:row>
    <x:row r="12">
      <x:c r="A12" s="27" t="str">
        <x:v>Burlington Distributing Company</x:v>
      </x:c>
      <x:c r="B12" s="27" t="str">
        <x:v>Closed system</x:v>
      </x:c>
      <x:c r="C12" s="27" t="str">
        <x:v>Chain footprint</x:v>
      </x:c>
      <x:c r="D12" s="27" t="str"/>
      <x:c r="E12" s="27" t="str">
        <x:v>Biscuitville-related supply operation; not a general independent-restaurant purveyor.</x:v>
      </x:c>
      <x:c r="F12" s="27" t="str"/>
      <x:c r="G12" s="27" t="str">
        <x:v>https://biscuitville.com</x:v>
      </x:c>
      <x:c r="H12" s="27" t="str">
        <x:v>High</x:v>
      </x:c>
      <x:c r="I12" s="27" t="str"/>
      <x:c r="J12" s="54" t="n">
        <x:v>46217</x:v>
      </x:c>
      <x:c r="K12" s="27" t="str">
        <x:f>IF('Read Me'!$E$13="","",IF(OR($B12="National",$B12="Online nationwide",ISNUMBER(SEARCH(","&amp;'Read Me'!$E$13&amp;",",","&amp;$F12&amp;","))),"MATCH",""))</x:f>
      </x:c>
    </x:row>
    <x:row r="13">
      <x:c r="A13" s="27" t="str">
        <x:v>Capitol Distributing</x:v>
      </x:c>
      <x:c r="B13" s="27" t="str">
        <x:v>Regional</x:v>
      </x:c>
      <x:c r="C13" s="27" t="str">
        <x:v>Mountain West / Pacific Northwest</x:v>
      </x:c>
      <x:c r="D13" s="27" t="str">
        <x:v>Idaho, Oregon, Washington, Utah, Montana, Nevada</x:v>
      </x:c>
      <x:c r="E13" s="27" t="str">
        <x:v>Boise-centered convenience and foodservice distribution.</x:v>
      </x:c>
      <x:c r="F13" s="27" t="str">
        <x:v>ID,OR,WA,UT,MT,NV</x:v>
      </x:c>
      <x:c r="G13" s="27" t="str">
        <x:v>https://capitoldist.com</x:v>
      </x:c>
      <x:c r="H13" s="27" t="str">
        <x:v>Low</x:v>
      </x:c>
      <x:c r="I13" s="27" t="str"/>
      <x:c r="J13" s="54" t="n">
        <x:v>46217</x:v>
      </x:c>
      <x:c r="K13" s="27" t="str">
        <x:f>IF('Read Me'!$E$13="","",IF(OR($B13="National",$B13="Online nationwide",ISNUMBER(SEARCH(","&amp;'Read Me'!$E$13&amp;",",","&amp;$F13&amp;","))),"MATCH",""))</x:f>
      </x:c>
    </x:row>
    <x:row r="14">
      <x:c r="A14" s="27" t="str">
        <x:v>Carolina Food Service of Loris</x:v>
      </x:c>
      <x:c r="B14" s="27" t="str">
        <x:v>Regional</x:v>
      </x:c>
      <x:c r="C14" s="27" t="str">
        <x:v>Carolinas</x:v>
      </x:c>
      <x:c r="D14" s="27" t="str">
        <x:v>North Carolina, South Carolina</x:v>
      </x:c>
      <x:c r="E14" s="27" t="str">
        <x:v>Publishes statewide service in North Carolina and South Carolina.</x:v>
      </x:c>
      <x:c r="F14" s="27" t="str">
        <x:v>NC,SC</x:v>
      </x:c>
      <x:c r="G14" s="27" t="str">
        <x:v>https://www.carolinafoodservice.com</x:v>
      </x:c>
      <x:c r="H14" s="27" t="str">
        <x:v>High</x:v>
      </x:c>
      <x:c r="I14" s="27" t="str"/>
      <x:c r="J14" s="54" t="n">
        <x:v>46217</x:v>
      </x:c>
      <x:c r="K14" s="27" t="str">
        <x:f>IF('Read Me'!$E$13="","",IF(OR($B14="National",$B14="Online nationwide",ISNUMBER(SEARCH(","&amp;'Read Me'!$E$13&amp;",",","&amp;$F14&amp;","))),"MATCH",""))</x:f>
      </x:c>
    </x:row>
    <x:row r="15">
      <x:c r="A15" s="27" t="str">
        <x:v>Cash-Wa Distributing</x:v>
      </x:c>
      <x:c r="B15" s="27" t="str">
        <x:v>Multi-regional</x:v>
      </x:c>
      <x:c r="C15" s="27" t="str">
        <x:v>Great Plains / Mountain West</x:v>
      </x:c>
      <x:c r="D15" s="27" t="str">
        <x:v>Nebraska, Colorado, Wyoming, Kansas, Oklahoma, Missouri, Iowa, Minnesota, South Dakota, North Dakota</x:v>
      </x:c>
      <x:c r="E15" s="27" t="str">
        <x:v>Published ten-state footprint across the central United States.</x:v>
      </x:c>
      <x:c r="F15" s="27" t="str">
        <x:v>NE,CO,WY,KS,OK,MO,IA,MN,SD,ND</x:v>
      </x:c>
      <x:c r="G15" s="27" t="str">
        <x:v>https://web.cashwa.com</x:v>
      </x:c>
      <x:c r="H15" s="27" t="str">
        <x:v>High</x:v>
      </x:c>
      <x:c r="I15" s="27" t="str"/>
      <x:c r="J15" s="54" t="n">
        <x:v>46217</x:v>
      </x:c>
      <x:c r="K15" s="27" t="str">
        <x:f>IF('Read Me'!$E$13="","",IF(OR($B15="National",$B15="Online nationwide",ISNUMBER(SEARCH(","&amp;'Read Me'!$E$13&amp;",",","&amp;$F15&amp;","))),"MATCH",""))</x:f>
      </x:c>
    </x:row>
    <x:row r="16">
      <x:c r="A16" s="27" t="str">
        <x:v>The Chefs' Warehouse</x:v>
      </x:c>
      <x:c r="B16" s="27" t="str">
        <x:v>Multi-regional</x:v>
      </x:c>
      <x:c r="C16" s="27" t="str">
        <x:v>Major culinary markets</x:v>
      </x:c>
      <x:c r="D16" s="27" t="str">
        <x:v>California, Florida, Georgia, Illinois, Massachusetts, Maryland, Nevada, New Jersey, New York, Ohio, Pennsylvania, Texas, Washington, District of Columbia</x:v>
      </x:c>
      <x:c r="E16" s="27" t="str">
        <x:v>Selective metropolitan markets rather than blanket statewide coverage.</x:v>
      </x:c>
      <x:c r="F16" s="27" t="str">
        <x:v>CA,FL,GA,IL,MA,MD,NV,NJ,NY,OH,PA,TX,WA,DC</x:v>
      </x:c>
      <x:c r="G16" s="27" t="str">
        <x:v>https://www.chefswarehouse.com/regions/</x:v>
      </x:c>
      <x:c r="H16" s="27" t="str">
        <x:v>Medium</x:v>
      </x:c>
      <x:c r="I16" s="27" t="str">
        <x:v>Always verify the specific metro/ZIP; state presence does not imply statewide delivery.</x:v>
      </x:c>
      <x:c r="J16" s="54" t="n">
        <x:v>46217</x:v>
      </x:c>
      <x:c r="K16" s="27" t="str">
        <x:f>IF('Read Me'!$E$13="","",IF(OR($B16="National",$B16="Online nationwide",ISNUMBER(SEARCH(","&amp;'Read Me'!$E$13&amp;",",","&amp;$F16&amp;","))),"MATCH",""))</x:f>
        <x:v>MATCH</x:v>
      </x:c>
    </x:row>
    <x:row r="17">
      <x:c r="A17" s="27" t="str">
        <x:v>Cheney Brothers, Inc.</x:v>
      </x:c>
      <x:c r="B17" s="27" t="str">
        <x:v>Regional</x:v>
      </x:c>
      <x:c r="C17" s="27" t="str">
        <x:v>Southeast</x:v>
      </x:c>
      <x:c r="D17" s="27" t="str">
        <x:v>Florida, Georgia, North Carolina, South Carolina</x:v>
      </x:c>
      <x:c r="E17" s="27" t="str">
        <x:v>Florida and the Southeast, supported by facilities and operations in Florida, Georgia and the Carolinas.</x:v>
      </x:c>
      <x:c r="F17" s="27" t="str">
        <x:v>FL,GA,NC,SC</x:v>
      </x:c>
      <x:c r="G17" s="27" t="str">
        <x:v>https://www.cheneybrothers.com</x:v>
      </x:c>
      <x:c r="H17" s="27" t="str">
        <x:v>High</x:v>
      </x:c>
      <x:c r="I17" s="27" t="str"/>
      <x:c r="J17" s="54" t="n">
        <x:v>46217</x:v>
      </x:c>
      <x:c r="K17" s="27" t="str">
        <x:f>IF('Read Me'!$E$13="","",IF(OR($B17="National",$B17="Online nationwide",ISNUMBER(SEARCH(","&amp;'Read Me'!$E$13&amp;",",","&amp;$F17&amp;","))),"MATCH",""))</x:f>
        <x:v>MATCH</x:v>
      </x:c>
    </x:row>
    <x:row r="18">
      <x:c r="A18" s="27" t="str">
        <x:v>Chick-fil-A Supply</x:v>
      </x:c>
      <x:c r="B18" s="27" t="str">
        <x:v>Closed system</x:v>
      </x:c>
      <x:c r="C18" s="27" t="str">
        <x:v>Chain footprint</x:v>
      </x:c>
      <x:c r="D18" s="27" t="str"/>
      <x:c r="E18" s="27" t="str">
        <x:v>Dedicated Chick-fil-A supply network; not available to independent operators.</x:v>
      </x:c>
      <x:c r="F18" s="27" t="str"/>
      <x:c r="G18" s="27" t="str">
        <x:v>https://www.cfa-supply.com</x:v>
      </x:c>
      <x:c r="H18" s="27" t="str">
        <x:v>High</x:v>
      </x:c>
      <x:c r="I18" s="27" t="str"/>
      <x:c r="J18" s="54" t="n">
        <x:v>46217</x:v>
      </x:c>
      <x:c r="K18" s="27" t="str">
        <x:f>IF('Read Me'!$E$13="","",IF(OR($B18="National",$B18="Online nationwide",ISNUMBER(SEARCH(","&amp;'Read Me'!$E$13&amp;",",","&amp;$F18&amp;","))),"MATCH",""))</x:f>
      </x:c>
    </x:row>
    <x:row r="19">
      <x:c r="A19" s="27" t="str">
        <x:v>Christ Panos Foods Corporation</x:v>
      </x:c>
      <x:c r="B19" s="27" t="str">
        <x:v>Regional</x:v>
      </x:c>
      <x:c r="C19" s="27" t="str">
        <x:v>Upper Midwest</x:v>
      </x:c>
      <x:c r="D19" s="27" t="str">
        <x:v>Illinois, Indiana, Wisconsin</x:v>
      </x:c>
      <x:c r="E19" s="27" t="str">
        <x:v>Chicago-centered specialty and broadline distribution.</x:v>
      </x:c>
      <x:c r="F19" s="27" t="str">
        <x:v>IL,IN,WI</x:v>
      </x:c>
      <x:c r="G19" s="27" t="str">
        <x:v>https://www.panosfoods.com</x:v>
      </x:c>
      <x:c r="H19" s="27" t="str">
        <x:v>Low</x:v>
      </x:c>
      <x:c r="I19" s="27" t="str"/>
      <x:c r="J19" s="54" t="n">
        <x:v>46217</x:v>
      </x:c>
      <x:c r="K19" s="27" t="str">
        <x:f>IF('Read Me'!$E$13="","",IF(OR($B19="National",$B19="Online nationwide",ISNUMBER(SEARCH(","&amp;'Read Me'!$E$13&amp;",",","&amp;$F19&amp;","))),"MATCH",""))</x:f>
      </x:c>
    </x:row>
    <x:row r="20">
      <x:c r="A20" s="27" t="str">
        <x:v>City Line Distributors</x:v>
      </x:c>
      <x:c r="B20" s="27" t="str">
        <x:v>Regional</x:v>
      </x:c>
      <x:c r="C20" s="27" t="str">
        <x:v>New England / New York Metro</x:v>
      </x:c>
      <x:c r="D20" s="27" t="str">
        <x:v>Connecticut, Massachusetts, New York, Rhode Island</x:v>
      </x:c>
      <x:c r="E20" s="27" t="str">
        <x:v>Southern New England and nearby New York markets.</x:v>
      </x:c>
      <x:c r="F20" s="27" t="str">
        <x:v>CT,MA,NY,RI</x:v>
      </x:c>
      <x:c r="G20" s="27" t="str">
        <x:v>https://www.citylinefoods.com</x:v>
      </x:c>
      <x:c r="H20" s="27" t="str">
        <x:v>Low</x:v>
      </x:c>
      <x:c r="I20" s="27" t="str"/>
      <x:c r="J20" s="54" t="n">
        <x:v>46217</x:v>
      </x:c>
      <x:c r="K20" s="27" t="str">
        <x:f>IF('Read Me'!$E$13="","",IF(OR($B20="National",$B20="Online nationwide",ISNUMBER(SEARCH(","&amp;'Read Me'!$E$13&amp;",",","&amp;$F20&amp;","))),"MATCH",""))</x:f>
      </x:c>
    </x:row>
    <x:row r="21">
      <x:c r="A21" s="27" t="str">
        <x:v>Cotati Food Service</x:v>
      </x:c>
      <x:c r="B21" s="27" t="str">
        <x:v>Local / regional</x:v>
      </x:c>
      <x:c r="C21" s="27" t="str">
        <x:v>Northern California</x:v>
      </x:c>
      <x:c r="D21" s="27" t="str">
        <x:v>California</x:v>
      </x:c>
      <x:c r="E21" s="27" t="str">
        <x:v>Northern California foodservice distribution.</x:v>
      </x:c>
      <x:c r="F21" s="27" t="str">
        <x:v>CA</x:v>
      </x:c>
      <x:c r="G21" s="27" t="str">
        <x:v>https://www.cotatifoodservice.com</x:v>
      </x:c>
      <x:c r="H21" s="27" t="str">
        <x:v>Medium</x:v>
      </x:c>
      <x:c r="I21" s="27" t="str"/>
      <x:c r="J21" s="54" t="n">
        <x:v>46217</x:v>
      </x:c>
      <x:c r="K21" s="27" t="str">
        <x:f>IF('Read Me'!$E$13="","",IF(OR($B21="National",$B21="Online nationwide",ISNUMBER(SEARCH(","&amp;'Read Me'!$E$13&amp;",",","&amp;$F21&amp;","))),"MATCH",""))</x:f>
      </x:c>
    </x:row>
    <x:row r="22">
      <x:c r="A22" s="27" t="str">
        <x:v>CRS OneSource</x:v>
      </x:c>
      <x:c r="B22" s="27" t="str">
        <x:v>Regional</x:v>
      </x:c>
      <x:c r="C22" s="27" t="str">
        <x:v>Midwest</x:v>
      </x:c>
      <x:c r="D22" s="27" t="str">
        <x:v>Illinois, Missouri, Indiana, Iowa</x:v>
      </x:c>
      <x:c r="E22" s="27" t="str">
        <x:v>Illinois-centered regional distribution.</x:v>
      </x:c>
      <x:c r="F22" s="27" t="str">
        <x:v>IL,MO,IN,IA</x:v>
      </x:c>
      <x:c r="G22" s="27" t="str">
        <x:v>https://www.crsonesource.com</x:v>
      </x:c>
      <x:c r="H22" s="27" t="str">
        <x:v>Low</x:v>
      </x:c>
      <x:c r="I22" s="27" t="str"/>
      <x:c r="J22" s="54" t="n">
        <x:v>46217</x:v>
      </x:c>
      <x:c r="K22" s="27" t="str">
        <x:f>IF('Read Me'!$E$13="","",IF(OR($B22="National",$B22="Online nationwide",ISNUMBER(SEARCH(","&amp;'Read Me'!$E$13&amp;",",","&amp;$F22&amp;","))),"MATCH",""))</x:f>
      </x:c>
    </x:row>
    <x:row r="23">
      <x:c r="A23" s="27" t="str">
        <x:v>Curtze Food Service</x:v>
      </x:c>
      <x:c r="B23" s="27" t="str">
        <x:v>Multi-regional</x:v>
      </x:c>
      <x:c r="C23" s="27" t="str">
        <x:v>Great Lakes / Mid-Atlantic</x:v>
      </x:c>
      <x:c r="D23" s="27" t="str">
        <x:v>Pennsylvania, New York, Virginia, West Virginia, Ohio, Michigan, Indiana, Kentucky, Maryland</x:v>
      </x:c>
      <x:c r="E23" s="27" t="str">
        <x:v>Publishes a nine-state service footprint.</x:v>
      </x:c>
      <x:c r="F23" s="27" t="str">
        <x:v>PA,NY,VA,WV,OH,MI,IN,KY,MD</x:v>
      </x:c>
      <x:c r="G23" s="27" t="str">
        <x:v>https://www.curtze.com</x:v>
      </x:c>
      <x:c r="H23" s="27" t="str">
        <x:v>High</x:v>
      </x:c>
      <x:c r="I23" s="27" t="str"/>
      <x:c r="J23" s="54" t="n">
        <x:v>46217</x:v>
      </x:c>
      <x:c r="K23" s="27" t="str">
        <x:f>IF('Read Me'!$E$13="","",IF(OR($B23="National",$B23="Online nationwide",ISNUMBER(SEARCH(","&amp;'Read Me'!$E$13&amp;",",","&amp;$F23&amp;","))),"MATCH",""))</x:f>
      </x:c>
    </x:row>
    <x:row r="24">
      <x:c r="A24" s="27" t="str">
        <x:v>Dawn Food Products</x:v>
      </x:c>
      <x:c r="B24" s="27" t="str">
        <x:v>National</x:v>
      </x:c>
      <x:c r="C24" s="27" t="str">
        <x:v>Nationwide</x:v>
      </x:c>
      <x:c r="D24" s="27" t="str"/>
      <x:c r="E24" s="27" t="str">
        <x:v>National bakery-ingredient manufacturer and distributor.</x:v>
      </x:c>
      <x:c r="F24" s="27" t="str"/>
      <x:c r="G24" s="27" t="str">
        <x:v>https://www.dawnfoods.com</x:v>
      </x:c>
      <x:c r="H24" s="27" t="str">
        <x:v>High</x:v>
      </x:c>
      <x:c r="I24" s="27" t="str">
        <x:v>Availability may be direct, through a local branch, or through a distributor.</x:v>
      </x:c>
      <x:c r="J24" s="54" t="n">
        <x:v>46217</x:v>
      </x:c>
      <x:c r="K24" s="27" t="str">
        <x:f>IF('Read Me'!$E$13="","",IF(OR($B24="National",$B24="Online nationwide",ISNUMBER(SEARCH(","&amp;'Read Me'!$E$13&amp;",",","&amp;$F24&amp;","))),"MATCH",""))</x:f>
        <x:v>MATCH</x:v>
      </x:c>
    </x:row>
    <x:row r="25">
      <x:c r="A25" s="27" t="str">
        <x:v>DBH Distributing / Hunt Brothers Pizza</x:v>
      </x:c>
      <x:c r="B25" s="27" t="str">
        <x:v>Closed system</x:v>
      </x:c>
      <x:c r="C25" s="27" t="str">
        <x:v>Program footprint</x:v>
      </x:c>
      <x:c r="D25" s="27" t="str"/>
      <x:c r="E25" s="27" t="str">
        <x:v>Supply operation tied to the Hunt Brothers Pizza program.</x:v>
      </x:c>
      <x:c r="F25" s="27" t="str"/>
      <x:c r="G25" s="27" t="str">
        <x:v>https://www.huntbrotherspizza.com</x:v>
      </x:c>
      <x:c r="H25" s="27" t="str">
        <x:v>High</x:v>
      </x:c>
      <x:c r="I25" s="27" t="str"/>
      <x:c r="J25" s="54" t="n">
        <x:v>46217</x:v>
      </x:c>
      <x:c r="K25" s="27" t="str">
        <x:f>IF('Read Me'!$E$13="","",IF(OR($B25="National",$B25="Online nationwide",ISNUMBER(SEARCH(","&amp;'Read Me'!$E$13&amp;",",","&amp;$F25&amp;","))),"MATCH",""))</x:f>
      </x:c>
    </x:row>
    <x:row r="26">
      <x:c r="A26" s="27" t="str">
        <x:v>Dennis Food Service</x:v>
      </x:c>
      <x:c r="B26" s="27" t="str">
        <x:v>Regional</x:v>
      </x:c>
      <x:c r="C26" s="27" t="str">
        <x:v>Northern New England</x:v>
      </x:c>
      <x:c r="D26" s="27" t="str">
        <x:v>Maine, New Hampshire</x:v>
      </x:c>
      <x:c r="E26" s="27" t="str">
        <x:v>Published delivery territory in Maine and New Hampshire.</x:v>
      </x:c>
      <x:c r="F26" s="27" t="str">
        <x:v>ME,NH</x:v>
      </x:c>
      <x:c r="G26" s="27" t="str">
        <x:v>https://dennisfoodservice.com</x:v>
      </x:c>
      <x:c r="H26" s="27" t="str">
        <x:v>High</x:v>
      </x:c>
      <x:c r="I26" s="27" t="str"/>
      <x:c r="J26" s="54" t="n">
        <x:v>46217</x:v>
      </x:c>
      <x:c r="K26" s="27" t="str">
        <x:f>IF('Read Me'!$E$13="","",IF(OR($B26="National",$B26="Online nationwide",ISNUMBER(SEARCH(","&amp;'Read Me'!$E$13&amp;",",","&amp;$F26&amp;","))),"MATCH",""))</x:f>
      </x:c>
    </x:row>
    <x:row r="27">
      <x:c r="A27" s="27" t="str">
        <x:v>Diaz Wholesale &amp; Manufacturing</x:v>
      </x:c>
      <x:c r="B27" s="27" t="str">
        <x:v>Multi-regional</x:v>
      </x:c>
      <x:c r="C27" s="27" t="str">
        <x:v>Eastern United States</x:v>
      </x:c>
      <x:c r="D27" s="27" t="str">
        <x:v>Georgia, Virginia, New Jersey</x:v>
      </x:c>
      <x:c r="E27" s="27" t="str">
        <x:v>Company reports a broad multi-state eastern footprint, with facilities in Georgia, Virginia and New Jersey.</x:v>
      </x:c>
      <x:c r="F27" s="27" t="str">
        <x:v>GA,VA,NJ</x:v>
      </x:c>
      <x:c r="G27" s="27" t="str">
        <x:v>https://www.diazfoods.com</x:v>
      </x:c>
      <x:c r="H27" s="27" t="str">
        <x:v>Medium</x:v>
      </x:c>
      <x:c r="I27" s="27" t="str">
        <x:v>Only facility states are auto-matched; additional service states require verification.</x:v>
      </x:c>
      <x:c r="J27" s="54" t="n">
        <x:v>46217</x:v>
      </x:c>
      <x:c r="K27" s="27" t="str">
        <x:f>IF('Read Me'!$E$13="","",IF(OR($B27="National",$B27="Online nationwide",ISNUMBER(SEARCH(","&amp;'Read Me'!$E$13&amp;",",","&amp;$F27&amp;","))),"MATCH",""))</x:f>
      </x:c>
    </x:row>
    <x:row r="28">
      <x:c r="A28" s="27" t="str">
        <x:v>DiCarlo Distributors, Inc.</x:v>
      </x:c>
      <x:c r="B28" s="27" t="str">
        <x:v>Multi-regional</x:v>
      </x:c>
      <x:c r="C28" s="27" t="str">
        <x:v>Northeast Corridor</x:v>
      </x:c>
      <x:c r="D28" s="27" t="str">
        <x:v>Massachusetts, Connecticut, New York, New Jersey, Pennsylvania, Delaware, Maryland, District of Columbia</x:v>
      </x:c>
      <x:c r="E28" s="27" t="str">
        <x:v>Boston-to-Baltimore corridor with a strong New York tri-state presence.</x:v>
      </x:c>
      <x:c r="F28" s="27" t="str">
        <x:v>MA,CT,NY,NJ,PA,DE,MD,DC</x:v>
      </x:c>
      <x:c r="G28" s="27" t="str">
        <x:v>https://www.dicarlofood.com</x:v>
      </x:c>
      <x:c r="H28" s="27" t="str">
        <x:v>High</x:v>
      </x:c>
      <x:c r="I28" s="27" t="str"/>
      <x:c r="J28" s="54" t="n">
        <x:v>46217</x:v>
      </x:c>
      <x:c r="K28" s="27" t="str">
        <x:f>IF('Read Me'!$E$13="","",IF(OR($B28="National",$B28="Online nationwide",ISNUMBER(SEARCH(","&amp;'Read Me'!$E$13&amp;",",","&amp;$F28&amp;","))),"MATCH",""))</x:f>
      </x:c>
    </x:row>
    <x:row r="29">
      <x:c r="A29" s="27" t="str">
        <x:v>Distribution Market Advantage</x:v>
      </x:c>
      <x:c r="B29" s="27" t="str">
        <x:v>Distributor network</x:v>
      </x:c>
      <x:c r="C29" s="27" t="str">
        <x:v>National network</x:v>
      </x:c>
      <x:c r="D29" s="27" t="str"/>
      <x:c r="E29" s="27" t="str">
        <x:v>National distributor alliance; match customers to the appropriate local member rather than DMA itself.</x:v>
      </x:c>
      <x:c r="F29" s="27" t="str"/>
      <x:c r="G29" s="27" t="str">
        <x:v>https://dmadelivers.com</x:v>
      </x:c>
      <x:c r="H29" s="27" t="str">
        <x:v>High</x:v>
      </x:c>
      <x:c r="I29" s="27" t="str"/>
      <x:c r="J29" s="54" t="n">
        <x:v>46217</x:v>
      </x:c>
      <x:c r="K29" s="27" t="str">
        <x:f>IF('Read Me'!$E$13="","",IF(OR($B29="National",$B29="Online nationwide",ISNUMBER(SEARCH(","&amp;'Read Me'!$E$13&amp;",",","&amp;$F29&amp;","))),"MATCH",""))</x:f>
      </x:c>
    </x:row>
    <x:row r="30">
      <x:c r="A30" s="27" t="str">
        <x:v>Dot Foods, Inc.</x:v>
      </x:c>
      <x:c r="B30" s="27" t="str">
        <x:v>National redistributor</x:v>
      </x:c>
      <x:c r="C30" s="27" t="str">
        <x:v>Nationwide</x:v>
      </x:c>
      <x:c r="D30" s="27" t="str"/>
      <x:c r="E30" s="27" t="str">
        <x:v>National redistributor serving distributor customers rather than most restaurants directly.</x:v>
      </x:c>
      <x:c r="F30" s="27" t="str"/>
      <x:c r="G30" s="27" t="str">
        <x:v>https://www.dotfoods.com</x:v>
      </x:c>
      <x:c r="H30" s="27" t="str">
        <x:v>High</x:v>
      </x:c>
      <x:c r="I30" s="27" t="str"/>
      <x:c r="J30" s="54" t="n">
        <x:v>46217</x:v>
      </x:c>
      <x:c r="K30" s="27" t="str">
        <x:f>IF('Read Me'!$E$13="","",IF(OR($B30="National",$B30="Online nationwide",ISNUMBER(SEARCH(","&amp;'Read Me'!$E$13&amp;",",","&amp;$F30&amp;","))),"MATCH",""))</x:f>
      </x:c>
    </x:row>
    <x:row r="31">
      <x:c r="A31" s="27" t="str">
        <x:v>Driscoll Foods</x:v>
      </x:c>
      <x:c r="B31" s="27" t="str">
        <x:v>Regional</x:v>
      </x:c>
      <x:c r="C31" s="27" t="str">
        <x:v>Northeast</x:v>
      </x:c>
      <x:c r="D31" s="27" t="str">
        <x:v>New Jersey, New York, Pennsylvania, Connecticut</x:v>
      </x:c>
      <x:c r="E31" s="27" t="str">
        <x:v>New Jersey, New York, Pennsylvania and adjacent Northeast routes.</x:v>
      </x:c>
      <x:c r="F31" s="27" t="str">
        <x:v>NJ,NY,PA,CT</x:v>
      </x:c>
      <x:c r="G31" s="27" t="str">
        <x:v>https://www.driscollfoods.com</x:v>
      </x:c>
      <x:c r="H31" s="27" t="str">
        <x:v>Medium</x:v>
      </x:c>
      <x:c r="I31" s="27" t="str"/>
      <x:c r="J31" s="54" t="n">
        <x:v>46217</x:v>
      </x:c>
      <x:c r="K31" s="27" t="str">
        <x:f>IF('Read Me'!$E$13="","",IF(OR($B31="National",$B31="Online nationwide",ISNUMBER(SEARCH(","&amp;'Read Me'!$E$13&amp;",",","&amp;$F31&amp;","))),"MATCH",""))</x:f>
      </x:c>
    </x:row>
    <x:row r="32">
      <x:c r="A32" s="27" t="str">
        <x:v>Euclid Fish Company</x:v>
      </x:c>
      <x:c r="B32" s="27" t="str">
        <x:v>Regional</x:v>
      </x:c>
      <x:c r="C32" s="27" t="str">
        <x:v>Great Lakes</x:v>
      </x:c>
      <x:c r="D32" s="27" t="str">
        <x:v>Ohio, Michigan, Pennsylvania, New York</x:v>
      </x:c>
      <x:c r="E32" s="27" t="str">
        <x:v>Ohio-centered seafood and specialty distribution across nearby Great Lakes markets.</x:v>
      </x:c>
      <x:c r="F32" s="27" t="str">
        <x:v>OH,MI,PA,NY</x:v>
      </x:c>
      <x:c r="G32" s="27" t="str">
        <x:v>https://www.euclidfish.com</x:v>
      </x:c>
      <x:c r="H32" s="27" t="str">
        <x:v>Low</x:v>
      </x:c>
      <x:c r="I32" s="27" t="str"/>
      <x:c r="J32" s="54" t="n">
        <x:v>46217</x:v>
      </x:c>
      <x:c r="K32" s="27" t="str">
        <x:f>IF('Read Me'!$E$13="","",IF(OR($B32="National",$B32="Online nationwide",ISNUMBER(SEARCH(","&amp;'Read Me'!$E$13&amp;",",","&amp;$F32&amp;","))),"MATCH",""))</x:f>
      </x:c>
    </x:row>
    <x:row r="33">
      <x:c r="A33" s="27" t="str">
        <x:v>EVCO Wholesale Food Corp.</x:v>
      </x:c>
      <x:c r="B33" s="27" t="str">
        <x:v>Regional</x:v>
      </x:c>
      <x:c r="C33" s="27" t="str">
        <x:v>West Coast</x:v>
      </x:c>
      <x:c r="D33" s="27" t="str">
        <x:v>California, Nevada, Arizona</x:v>
      </x:c>
      <x:c r="E33" s="27" t="str">
        <x:v>California-centered regional wholesale food distribution.</x:v>
      </x:c>
      <x:c r="F33" s="27" t="str">
        <x:v>CA,NV,AZ</x:v>
      </x:c>
      <x:c r="G33" s="27" t="str">
        <x:v>https://www.evcofoods.com</x:v>
      </x:c>
      <x:c r="H33" s="27" t="str">
        <x:v>Low</x:v>
      </x:c>
      <x:c r="I33" s="27" t="str"/>
      <x:c r="J33" s="54" t="n">
        <x:v>46217</x:v>
      </x:c>
      <x:c r="K33" s="27" t="str">
        <x:f>IF('Read Me'!$E$13="","",IF(OR($B33="National",$B33="Online nationwide",ISNUMBER(SEARCH(","&amp;'Read Me'!$E$13&amp;",",","&amp;$F33&amp;","))),"MATCH",""))</x:f>
      </x:c>
    </x:row>
    <x:row r="34">
      <x:c r="A34" s="27" t="str">
        <x:v>F &amp; A Food Sales, Inc.</x:v>
      </x:c>
      <x:c r="B34" s="27" t="str">
        <x:v>Regional</x:v>
      </x:c>
      <x:c r="C34" s="27" t="str">
        <x:v>Northeast</x:v>
      </x:c>
      <x:c r="D34" s="27" t="str">
        <x:v>Massachusetts, Connecticut, Rhode Island, New Hampshire</x:v>
      </x:c>
      <x:c r="E34" s="27" t="str">
        <x:v>New England specialty and wholesale distribution.</x:v>
      </x:c>
      <x:c r="F34" s="27" t="str">
        <x:v>MA,CT,RI,NH</x:v>
      </x:c>
      <x:c r="G34" s="27" t="str">
        <x:v>https://www.fafoodsales.com</x:v>
      </x:c>
      <x:c r="H34" s="27" t="str">
        <x:v>Low</x:v>
      </x:c>
      <x:c r="I34" s="27" t="str"/>
      <x:c r="J34" s="54" t="n">
        <x:v>46217</x:v>
      </x:c>
      <x:c r="K34" s="27" t="str">
        <x:f>IF('Read Me'!$E$13="","",IF(OR($B34="National",$B34="Online nationwide",ISNUMBER(SEARCH(","&amp;'Read Me'!$E$13&amp;",",","&amp;$F34&amp;","))),"MATCH",""))</x:f>
      </x:c>
    </x:row>
    <x:row r="35">
      <x:c r="A35" s="27" t="str">
        <x:v>Federated Foodservice</x:v>
      </x:c>
      <x:c r="B35" s="27" t="str">
        <x:v>Distributor network</x:v>
      </x:c>
      <x:c r="C35" s="27" t="str">
        <x:v>National network</x:v>
      </x:c>
      <x:c r="D35" s="27" t="str"/>
      <x:c r="E35" s="27" t="str">
        <x:v>Distributor/member network; use its local member rather than treating the network as a direct purveyor.</x:v>
      </x:c>
      <x:c r="F35" s="27" t="str"/>
      <x:c r="G35" s="27" t="str">
        <x:v>https://www.federatedfoodservice.com</x:v>
      </x:c>
      <x:c r="H35" s="27" t="str">
        <x:v>High</x:v>
      </x:c>
      <x:c r="I35" s="27" t="str"/>
      <x:c r="J35" s="54" t="n">
        <x:v>46217</x:v>
      </x:c>
      <x:c r="K35" s="27" t="str">
        <x:f>IF('Read Me'!$E$13="","",IF(OR($B35="National",$B35="Online nationwide",ISNUMBER(SEARCH(","&amp;'Read Me'!$E$13&amp;",",","&amp;$F35&amp;","))),"MATCH",""))</x:f>
      </x:c>
    </x:row>
    <x:row r="36">
      <x:c r="A36" s="27" t="str">
        <x:v>Feeser's, Inc.</x:v>
      </x:c>
      <x:c r="B36" s="27" t="str">
        <x:v>Multi-regional</x:v>
      </x:c>
      <x:c r="C36" s="27" t="str">
        <x:v>Mid-Atlantic / Northeast</x:v>
      </x:c>
      <x:c r="D36" s="27" t="str">
        <x:v>Pennsylvania, New Jersey, Delaware, Maryland, New York, Virginia, West Virginia, District of Columbia</x:v>
      </x:c>
      <x:c r="E36" s="27" t="str">
        <x:v>Published Mid-Atlantic and neighboring Northeast service territory.</x:v>
      </x:c>
      <x:c r="F36" s="27" t="str">
        <x:v>PA,NJ,DE,MD,NY,VA,WV,DC</x:v>
      </x:c>
      <x:c r="G36" s="27" t="str">
        <x:v>https://www.feesers.com</x:v>
      </x:c>
      <x:c r="H36" s="27" t="str">
        <x:v>High</x:v>
      </x:c>
      <x:c r="I36" s="27" t="str"/>
      <x:c r="J36" s="54" t="n">
        <x:v>46217</x:v>
      </x:c>
      <x:c r="K36" s="27" t="str">
        <x:f>IF('Read Me'!$E$13="","",IF(OR($B36="National",$B36="Online nationwide",ISNUMBER(SEARCH(","&amp;'Read Me'!$E$13&amp;",",","&amp;$F36&amp;","))),"MATCH",""))</x:f>
      </x:c>
    </x:row>
    <x:row r="37">
      <x:c r="A37" s="27" t="str">
        <x:v>Food Supply, Inc.</x:v>
      </x:c>
      <x:c r="B37" s="27" t="str">
        <x:v>Regional</x:v>
      </x:c>
      <x:c r="C37" s="27" t="str">
        <x:v>Southeast</x:v>
      </x:c>
      <x:c r="D37" s="27" t="str">
        <x:v>South Carolina, North Carolina, Georgia</x:v>
      </x:c>
      <x:c r="E37" s="27" t="str">
        <x:v>Carolinas-centered regional distribution.</x:v>
      </x:c>
      <x:c r="F37" s="27" t="str">
        <x:v>SC,NC,GA</x:v>
      </x:c>
      <x:c r="G37" s="27" t="str">
        <x:v>https://www.foodsupply.com</x:v>
      </x:c>
      <x:c r="H37" s="27" t="str">
        <x:v>Low</x:v>
      </x:c>
      <x:c r="I37" s="27" t="str"/>
      <x:c r="J37" s="54" t="n">
        <x:v>46217</x:v>
      </x:c>
      <x:c r="K37" s="27" t="str">
        <x:f>IF('Read Me'!$E$13="","",IF(OR($B37="National",$B37="Online nationwide",ISNUMBER(SEARCH(","&amp;'Read Me'!$E$13&amp;",",","&amp;$F37&amp;","))),"MATCH",""))</x:f>
      </x:c>
    </x:row>
    <x:row r="38">
      <x:c r="A38" s="27" t="str">
        <x:v>Foodist</x:v>
      </x:c>
      <x:c r="B38" s="27" t="str">
        <x:v>Online nationwide</x:v>
      </x:c>
      <x:c r="C38" s="27" t="str">
        <x:v>Nationwide / parcel or freight</x:v>
      </x:c>
      <x:c r="D38" s="27" t="str"/>
      <x:c r="E38" s="27" t="str">
        <x:v>Online specialty ordering; confirm shipping availability, freight class and minimums by ZIP.</x:v>
      </x:c>
      <x:c r="F38" s="27" t="str"/>
      <x:c r="G38" s="27" t="str">
        <x:v>https://efoodist.com</x:v>
      </x:c>
      <x:c r="H38" s="27" t="str">
        <x:v>Medium</x:v>
      </x:c>
      <x:c r="I38" s="27" t="str"/>
      <x:c r="J38" s="54" t="n">
        <x:v>46217</x:v>
      </x:c>
      <x:c r="K38" s="27" t="str">
        <x:f>IF('Read Me'!$E$13="","",IF(OR($B38="National",$B38="Online nationwide",ISNUMBER(SEARCH(","&amp;'Read Me'!$E$13&amp;",",","&amp;$F38&amp;","))),"MATCH",""))</x:f>
        <x:v>MATCH</x:v>
      </x:c>
    </x:row>
    <x:row r="39">
      <x:c r="A39" s="27" t="str">
        <x:v>FoodPRO</x:v>
      </x:c>
      <x:c r="B39" s="27" t="str">
        <x:v>Regional</x:v>
      </x:c>
      <x:c r="C39" s="27" t="str">
        <x:v>Mid-Atlantic</x:v>
      </x:c>
      <x:c r="D39" s="27" t="str">
        <x:v>Maryland, Virginia, Pennsylvania, West Virginia, District of Columbia</x:v>
      </x:c>
      <x:c r="E39" s="27" t="str">
        <x:v>Mid-Atlantic foodservice distribution.</x:v>
      </x:c>
      <x:c r="F39" s="27" t="str">
        <x:v>MD,VA,PA,WV,DC</x:v>
      </x:c>
      <x:c r="G39" s="27" t="str">
        <x:v>https://www.myfoodpro.com</x:v>
      </x:c>
      <x:c r="H39" s="27" t="str">
        <x:v>Low</x:v>
      </x:c>
      <x:c r="I39" s="27" t="str"/>
      <x:c r="J39" s="54" t="n">
        <x:v>46217</x:v>
      </x:c>
      <x:c r="K39" s="27" t="str">
        <x:f>IF('Read Me'!$E$13="","",IF(OR($B39="National",$B39="Online nationwide",ISNUMBER(SEARCH(","&amp;'Read Me'!$E$13&amp;",",","&amp;$F39&amp;","))),"MATCH",""))</x:f>
      </x:c>
    </x:row>
    <x:row r="40">
      <x:c r="A40" s="27" t="str">
        <x:v>Frosty Acres Brands</x:v>
      </x:c>
      <x:c r="B40" s="27" t="str">
        <x:v>Distributor network</x:v>
      </x:c>
      <x:c r="C40" s="27" t="str">
        <x:v>National network</x:v>
      </x:c>
      <x:c r="D40" s="27" t="str"/>
      <x:c r="E40" s="27" t="str">
        <x:v>Independent distributor cooperative with members searchable by state.</x:v>
      </x:c>
      <x:c r="F40" s="27" t="str"/>
      <x:c r="G40" s="27" t="str">
        <x:v>https://frostyacres.com/distributors</x:v>
      </x:c>
      <x:c r="H40" s="27" t="str">
        <x:v>High</x:v>
      </x:c>
      <x:c r="I40" s="27" t="str"/>
      <x:c r="J40" s="54" t="n">
        <x:v>46217</x:v>
      </x:c>
      <x:c r="K40" s="27" t="str">
        <x:f>IF('Read Me'!$E$13="","",IF(OR($B40="National",$B40="Online nationwide",ISNUMBER(SEARCH(","&amp;'Read Me'!$E$13&amp;",",","&amp;$F40&amp;","))),"MATCH",""))</x:f>
      </x:c>
    </x:row>
    <x:row r="41">
      <x:c r="A41" s="27" t="str">
        <x:v>Fuchs Foodservice / Pizza Specialties</x:v>
      </x:c>
      <x:c r="B41" s="27" t="str">
        <x:v>Regional</x:v>
      </x:c>
      <x:c r="C41" s="27" t="str">
        <x:v>Upper Midwest</x:v>
      </x:c>
      <x:c r="D41" s="27" t="str">
        <x:v>Wisconsin, Illinois, Minnesota, Iowa, Michigan</x:v>
      </x:c>
      <x:c r="E41" s="27" t="str">
        <x:v>Wisconsin-centered pizza and specialty distribution.</x:v>
      </x:c>
      <x:c r="F41" s="27" t="str">
        <x:v>WI,IL,MN,IA,MI</x:v>
      </x:c>
      <x:c r="G41" s="27" t="str">
        <x:v>https://pizzaspecialtiesinc.com</x:v>
      </x:c>
      <x:c r="H41" s="27" t="str">
        <x:v>Low</x:v>
      </x:c>
      <x:c r="I41" s="27" t="str"/>
      <x:c r="J41" s="54" t="n">
        <x:v>46217</x:v>
      </x:c>
      <x:c r="K41" s="27" t="str">
        <x:f>IF('Read Me'!$E$13="","",IF(OR($B41="National",$B41="Online nationwide",ISNUMBER(SEARCH(","&amp;'Read Me'!$E$13&amp;",",","&amp;$F41&amp;","))),"MATCH",""))</x:f>
      </x:c>
    </x:row>
    <x:row r="42">
      <x:c r="A42" s="27" t="str">
        <x:v>G &amp; C Foods</x:v>
      </x:c>
      <x:c r="B42" s="27" t="str">
        <x:v>National redistributor</x:v>
      </x:c>
      <x:c r="C42" s="27" t="str">
        <x:v>Multi-regional / national</x:v>
      </x:c>
      <x:c r="D42" s="27" t="str"/>
      <x:c r="E42" s="27" t="str">
        <x:v>Redistributor serving foodservice distributors; not typically a direct restaurant account.</x:v>
      </x:c>
      <x:c r="F42" s="27" t="str"/>
      <x:c r="G42" s="27" t="str">
        <x:v>https://gcfoods.com</x:v>
      </x:c>
      <x:c r="H42" s="27" t="str">
        <x:v>Medium</x:v>
      </x:c>
      <x:c r="I42" s="27" t="str"/>
      <x:c r="J42" s="54" t="n">
        <x:v>46217</x:v>
      </x:c>
      <x:c r="K42" s="27" t="str">
        <x:f>IF('Read Me'!$E$13="","",IF(OR($B42="National",$B42="Online nationwide",ISNUMBER(SEARCH(","&amp;'Read Me'!$E$13&amp;",",","&amp;$F42&amp;","))),"MATCH",""))</x:f>
      </x:c>
    </x:row>
    <x:row r="43">
      <x:c r="A43" s="27" t="str">
        <x:v>Ginsberg's Foods</x:v>
      </x:c>
      <x:c r="B43" s="27" t="str">
        <x:v>Regional</x:v>
      </x:c>
      <x:c r="C43" s="27" t="str">
        <x:v>Northeast</x:v>
      </x:c>
      <x:c r="D43" s="27" t="str">
        <x:v>New York, Vermont, Massachusetts, Connecticut, Pennsylvania</x:v>
      </x:c>
      <x:c r="E43" s="27" t="str">
        <x:v>Eastern New York, southern Vermont, western Massachusetts, western/northwestern Connecticut and northeastern Pennsylvania.</x:v>
      </x:c>
      <x:c r="F43" s="27" t="str">
        <x:v>NY,VT,MA,CT,PA</x:v>
      </x:c>
      <x:c r="G43" s="27" t="str">
        <x:v>https://www.ginsbergs.com</x:v>
      </x:c>
      <x:c r="H43" s="27" t="str">
        <x:v>High</x:v>
      </x:c>
      <x:c r="I43" s="27" t="str">
        <x:v>The company references six states; only states explicitly identified in public territory text are auto-matched.</x:v>
      </x:c>
      <x:c r="J43" s="54" t="n">
        <x:v>46217</x:v>
      </x:c>
      <x:c r="K43" s="27" t="str">
        <x:f>IF('Read Me'!$E$13="","",IF(OR($B43="National",$B43="Online nationwide",ISNUMBER(SEARCH(","&amp;'Read Me'!$E$13&amp;",",","&amp;$F43&amp;","))),"MATCH",""))</x:f>
      </x:c>
    </x:row>
    <x:row r="44">
      <x:c r="A44" s="27" t="str">
        <x:v>Golbon</x:v>
      </x:c>
      <x:c r="B44" s="27" t="str">
        <x:v>Distributor network</x:v>
      </x:c>
      <x:c r="C44" s="27" t="str">
        <x:v>National network</x:v>
      </x:c>
      <x:c r="D44" s="27" t="str"/>
      <x:c r="E44" s="27" t="str">
        <x:v>Independent distributor buying group; geographic matching should occur at member level.</x:v>
      </x:c>
      <x:c r="F44" s="27" t="str"/>
      <x:c r="G44" s="27" t="str">
        <x:v>https://www.golbon.com</x:v>
      </x:c>
      <x:c r="H44" s="27" t="str">
        <x:v>High</x:v>
      </x:c>
      <x:c r="I44" s="27" t="str"/>
      <x:c r="J44" s="54" t="n">
        <x:v>46217</x:v>
      </x:c>
      <x:c r="K44" s="27" t="str">
        <x:f>IF('Read Me'!$E$13="","",IF(OR($B44="National",$B44="Online nationwide",ISNUMBER(SEARCH(","&amp;'Read Me'!$E$13&amp;",",","&amp;$F44&amp;","))),"MATCH",""))</x:f>
      </x:c>
    </x:row>
    <x:row r="45">
      <x:c r="A45" s="27" t="str">
        <x:v>Gold Star Foods</x:v>
      </x:c>
      <x:c r="B45" s="27" t="str">
        <x:v>Multi-regional</x:v>
      </x:c>
      <x:c r="C45" s="27" t="str">
        <x:v>West / South / institutional markets</x:v>
      </x:c>
      <x:c r="D45" s="27" t="str">
        <x:v>California, Arizona, Nevada, Texas, New Mexico</x:v>
      </x:c>
      <x:c r="E45" s="27" t="str">
        <x:v>Institutional and K-12 distribution with a multi-state western and southern footprint.</x:v>
      </x:c>
      <x:c r="F45" s="27" t="str">
        <x:v>CA,AZ,NV,TX,NM</x:v>
      </x:c>
      <x:c r="G45" s="27" t="str">
        <x:v>https://goldstarfoods.com</x:v>
      </x:c>
      <x:c r="H45" s="27" t="str">
        <x:v>Low</x:v>
      </x:c>
      <x:c r="I45" s="27" t="str"/>
      <x:c r="J45" s="54" t="n">
        <x:v>46217</x:v>
      </x:c>
      <x:c r="K45" s="27" t="str">
        <x:f>IF('Read Me'!$E$13="","",IF(OR($B45="National",$B45="Online nationwide",ISNUMBER(SEARCH(","&amp;'Read Me'!$E$13&amp;",",","&amp;$F45&amp;","))),"MATCH",""))</x:f>
      </x:c>
    </x:row>
    <x:row r="46">
      <x:c r="A46" s="27" t="str">
        <x:v>Good Source Solutions, Inc.</x:v>
      </x:c>
      <x:c r="B46" s="27" t="str">
        <x:v>National redistributor</x:v>
      </x:c>
      <x:c r="C46" s="27" t="str">
        <x:v>Nationwide</x:v>
      </x:c>
      <x:c r="D46" s="27" t="str"/>
      <x:c r="E46" s="27" t="str">
        <x:v>National specialty sourcing and redistribution; account and delivery model varies.</x:v>
      </x:c>
      <x:c r="F46" s="27" t="str"/>
      <x:c r="G46" s="27" t="str">
        <x:v>https://goodsource.com</x:v>
      </x:c>
      <x:c r="H46" s="27" t="str">
        <x:v>Medium</x:v>
      </x:c>
      <x:c r="I46" s="27" t="str"/>
      <x:c r="J46" s="54" t="n">
        <x:v>46217</x:v>
      </x:c>
      <x:c r="K46" s="27" t="str">
        <x:f>IF('Read Me'!$E$13="","",IF(OR($B46="National",$B46="Online nationwide",ISNUMBER(SEARCH(","&amp;'Read Me'!$E$13&amp;",",","&amp;$F46&amp;","))),"MATCH",""))</x:f>
      </x:c>
    </x:row>
    <x:row r="47">
      <x:c r="A47" s="27" t="str">
        <x:v>Gordon Food Service</x:v>
      </x:c>
      <x:c r="B47" s="27" t="str">
        <x:v>Multi-regional</x:v>
      </x:c>
      <x:c r="C47" s="27" t="str">
        <x:v>Eastern / Central United States</x:v>
      </x:c>
      <x:c r="D47" s="27" t="str">
        <x:v>Alabama, Florida, Georgia, Illinois, Indiana, Kentucky, Maryland, Michigan, Missouri, North Carolina, New York, Ohio, Pennsylvania, South Carolina, Tennessee, Texas, Wisconsin</x:v>
      </x:c>
      <x:c r="E47" s="27" t="str">
        <x:v>Large multi-regional footprint supported by distribution centers and service markets across the eastern and central U.S.</x:v>
      </x:c>
      <x:c r="F47" s="27" t="str">
        <x:v>AL,FL,GA,IL,IN,KY,MD,MI,MO,NC,NY,OH,PA,SC,TN,TX,WI</x:v>
      </x:c>
      <x:c r="G47" s="27" t="str">
        <x:v>https://gfs.com/en-us/about-us/our-locations/</x:v>
      </x:c>
      <x:c r="H47" s="27" t="str">
        <x:v>Medium</x:v>
      </x:c>
      <x:c r="I47" s="27" t="str">
        <x:v>Confirm exact route availability by ZIP; this is not blanket statewide coverage.</x:v>
      </x:c>
      <x:c r="J47" s="54" t="n">
        <x:v>46217</x:v>
      </x:c>
      <x:c r="K47" s="27" t="str">
        <x:f>IF('Read Me'!$E$13="","",IF(OR($B47="National",$B47="Online nationwide",ISNUMBER(SEARCH(","&amp;'Read Me'!$E$13&amp;",",","&amp;$F47&amp;","))),"MATCH",""))</x:f>
        <x:v>MATCH</x:v>
      </x:c>
    </x:row>
    <x:row r="48">
      <x:c r="A48" s="27" t="str">
        <x:v>Graves Foods / Menu Maker Foods</x:v>
      </x:c>
      <x:c r="B48" s="27" t="str">
        <x:v>Regional</x:v>
      </x:c>
      <x:c r="C48" s="27" t="str">
        <x:v>Central Plains</x:v>
      </x:c>
      <x:c r="D48" s="27" t="str">
        <x:v>Kansas, Missouri, Nebraska, Oklahoma, Iowa</x:v>
      </x:c>
      <x:c r="E48" s="27" t="str">
        <x:v>Kansas-centered regional foodservice distribution.</x:v>
      </x:c>
      <x:c r="F48" s="27" t="str">
        <x:v>KS,MO,NE,OK,IA</x:v>
      </x:c>
      <x:c r="G48" s="27" t="str">
        <x:v>https://www.menumakerfoods.com</x:v>
      </x:c>
      <x:c r="H48" s="27" t="str">
        <x:v>Low</x:v>
      </x:c>
      <x:c r="I48" s="27" t="str"/>
      <x:c r="J48" s="54" t="n">
        <x:v>46217</x:v>
      </x:c>
      <x:c r="K48" s="27" t="str">
        <x:f>IF('Read Me'!$E$13="","",IF(OR($B48="National",$B48="Online nationwide",ISNUMBER(SEARCH(","&amp;'Read Me'!$E$13&amp;",",","&amp;$F48&amp;","))),"MATCH",""))</x:f>
      </x:c>
    </x:row>
    <x:row r="49">
      <x:c r="A49" s="27" t="str">
        <x:v>GS Foods Group</x:v>
      </x:c>
      <x:c r="B49" s="27" t="str">
        <x:v>Multi-regional</x:v>
      </x:c>
      <x:c r="C49" s="27" t="str">
        <x:v>West / South / institutional markets</x:v>
      </x:c>
      <x:c r="D49" s="27" t="str">
        <x:v>California, Arizona, Nevada, Texas, New Mexico, Missouri</x:v>
      </x:c>
      <x:c r="E49" s="27" t="str">
        <x:v>K-12 and institutional distribution through multiple operating companies.</x:v>
      </x:c>
      <x:c r="F49" s="27" t="str">
        <x:v>CA,AZ,NV,TX,NM,MO</x:v>
      </x:c>
      <x:c r="G49" s="27" t="str">
        <x:v>https://gsfoodsgroup.com</x:v>
      </x:c>
      <x:c r="H49" s="27" t="str">
        <x:v>Low</x:v>
      </x:c>
      <x:c r="I49" s="27" t="str"/>
      <x:c r="J49" s="54" t="n">
        <x:v>46217</x:v>
      </x:c>
      <x:c r="K49" s="27" t="str">
        <x:f>IF('Read Me'!$E$13="","",IF(OR($B49="National",$B49="Online nationwide",ISNUMBER(SEARCH(","&amp;'Read Me'!$E$13&amp;",",","&amp;$F49&amp;","))),"MATCH",""))</x:f>
      </x:c>
    </x:row>
    <x:row r="50">
      <x:c r="A50" s="27" t="str">
        <x:v>Halsey Foodservice</x:v>
      </x:c>
      <x:c r="B50" s="27" t="str">
        <x:v>Regional</x:v>
      </x:c>
      <x:c r="C50" s="27" t="str">
        <x:v>Southeast</x:v>
      </x:c>
      <x:c r="D50" s="27" t="str">
        <x:v>Alabama, Tennessee, Mississippi, Georgia</x:v>
      </x:c>
      <x:c r="E50" s="27" t="str">
        <x:v>Alabama-centered regional foodservice distribution.</x:v>
      </x:c>
      <x:c r="F50" s="27" t="str">
        <x:v>AL,TN,MS,GA</x:v>
      </x:c>
      <x:c r="G50" s="27" t="str">
        <x:v>https://www.halseyfoodservice.com</x:v>
      </x:c>
      <x:c r="H50" s="27" t="str">
        <x:v>Low</x:v>
      </x:c>
      <x:c r="I50" s="27" t="str"/>
      <x:c r="J50" s="54" t="n">
        <x:v>46217</x:v>
      </x:c>
      <x:c r="K50" s="27" t="str">
        <x:f>IF('Read Me'!$E$13="","",IF(OR($B50="National",$B50="Online nationwide",ISNUMBER(SEARCH(","&amp;'Read Me'!$E$13&amp;",",","&amp;$F50&amp;","))),"MATCH",""))</x:f>
      </x:c>
    </x:row>
    <x:row r="51">
      <x:c r="A51" s="27" t="str">
        <x:v>Harbor Foods Group</x:v>
      </x:c>
      <x:c r="B51" s="27" t="str">
        <x:v>Multi-regional</x:v>
      </x:c>
      <x:c r="C51" s="27" t="str">
        <x:v>Pacific Northwest / Alaska</x:v>
      </x:c>
      <x:c r="D51" s="27" t="str">
        <x:v>Alaska, Washington, Idaho, Oregon, California</x:v>
      </x:c>
      <x:c r="E51" s="27" t="str">
        <x:v>Publishes service in Alaska, Washington, Idaho, Oregon and Northern California.</x:v>
      </x:c>
      <x:c r="F51" s="27" t="str">
        <x:v>AK,WA,ID,OR,CA</x:v>
      </x:c>
      <x:c r="G51" s="27" t="str">
        <x:v>https://www.harborwholesale.com</x:v>
      </x:c>
      <x:c r="H51" s="27" t="str">
        <x:v>High</x:v>
      </x:c>
      <x:c r="I51" s="27" t="str"/>
      <x:c r="J51" s="54" t="n">
        <x:v>46217</x:v>
      </x:c>
      <x:c r="K51" s="27" t="str">
        <x:f>IF('Read Me'!$E$13="","",IF(OR($B51="National",$B51="Online nationwide",ISNUMBER(SEARCH(","&amp;'Read Me'!$E$13&amp;",",","&amp;$F51&amp;","))),"MATCH",""))</x:f>
      </x:c>
    </x:row>
    <x:row r="52">
      <x:c r="A52" s="27" t="str">
        <x:v>Henry's Foods, Inc.</x:v>
      </x:c>
      <x:c r="B52" s="27" t="str">
        <x:v>Regional</x:v>
      </x:c>
      <x:c r="C52" s="27" t="str">
        <x:v>Upper Midwest / Northern Plains</x:v>
      </x:c>
      <x:c r="D52" s="27" t="str">
        <x:v>Minnesota, North Dakota, South Dakota, Wisconsin, Iowa</x:v>
      </x:c>
      <x:c r="E52" s="27" t="str">
        <x:v>Publishes a five-state Upper Midwest and Northern Plains footprint.</x:v>
      </x:c>
      <x:c r="F52" s="27" t="str">
        <x:v>MN,ND,SD,WI,IA</x:v>
      </x:c>
      <x:c r="G52" s="27" t="str">
        <x:v>https://www.henrysfoods.com</x:v>
      </x:c>
      <x:c r="H52" s="27" t="str">
        <x:v>High</x:v>
      </x:c>
      <x:c r="I52" s="27" t="str"/>
      <x:c r="J52" s="54" t="n">
        <x:v>46217</x:v>
      </x:c>
      <x:c r="K52" s="27" t="str">
        <x:f>IF('Read Me'!$E$13="","",IF(OR($B52="National",$B52="Online nationwide",ISNUMBER(SEARCH(","&amp;'Read Me'!$E$13&amp;",",","&amp;$F52&amp;","))),"MATCH",""))</x:f>
      </x:c>
    </x:row>
    <x:row r="53">
      <x:c r="A53" s="27" t="str">
        <x:v>Holiday Wholesale, Inc.</x:v>
      </x:c>
      <x:c r="B53" s="27" t="str">
        <x:v>Regional</x:v>
      </x:c>
      <x:c r="C53" s="27" t="str">
        <x:v>Upper Midwest</x:v>
      </x:c>
      <x:c r="D53" s="27" t="str">
        <x:v>Wisconsin, Illinois, Iowa, Minnesota</x:v>
      </x:c>
      <x:c r="E53" s="27" t="str">
        <x:v>Wisconsin-centered convenience and foodservice distribution.</x:v>
      </x:c>
      <x:c r="F53" s="27" t="str">
        <x:v>WI,IL,IA,MN</x:v>
      </x:c>
      <x:c r="G53" s="27" t="str">
        <x:v>https://www.holidaywholesale.com</x:v>
      </x:c>
      <x:c r="H53" s="27" t="str">
        <x:v>Low</x:v>
      </x:c>
      <x:c r="I53" s="27" t="str"/>
      <x:c r="J53" s="54" t="n">
        <x:v>46217</x:v>
      </x:c>
      <x:c r="K53" s="27" t="str">
        <x:f>IF('Read Me'!$E$13="","",IF(OR($B53="National",$B53="Online nationwide",ISNUMBER(SEARCH(","&amp;'Read Me'!$E$13&amp;",",","&amp;$F53&amp;","))),"MATCH",""))</x:f>
      </x:c>
    </x:row>
    <x:row r="54">
      <x:c r="A54" s="27" t="str">
        <x:v>Honor Foods, Inc.</x:v>
      </x:c>
      <x:c r="B54" s="27" t="str">
        <x:v>National redistributor</x:v>
      </x:c>
      <x:c r="C54" s="27" t="str">
        <x:v>Eastern / national redistribution</x:v>
      </x:c>
      <x:c r="D54" s="27" t="str"/>
      <x:c r="E54" s="27" t="str">
        <x:v>Redistributor serving other distributors; not normally a direct restaurant account.</x:v>
      </x:c>
      <x:c r="F54" s="27" t="str"/>
      <x:c r="G54" s="27" t="str">
        <x:v>https://www.honorfoods.com</x:v>
      </x:c>
      <x:c r="H54" s="27" t="str">
        <x:v>Medium</x:v>
      </x:c>
      <x:c r="I54" s="27" t="str"/>
      <x:c r="J54" s="54" t="n">
        <x:v>46217</x:v>
      </x:c>
      <x:c r="K54" s="27" t="str">
        <x:f>IF('Read Me'!$E$13="","",IF(OR($B54="National",$B54="Online nationwide",ISNUMBER(SEARCH(","&amp;'Read Me'!$E$13&amp;",",","&amp;$F54&amp;","))),"MATCH",""))</x:f>
      </x:c>
    </x:row>
    <x:row r="55">
      <x:c r="A55" s="27" t="str">
        <x:v>HPC Foodservice</x:v>
      </x:c>
      <x:c r="B55" s="27" t="str">
        <x:v>Regional</x:v>
      </x:c>
      <x:c r="C55" s="27" t="str">
        <x:v>New England / New York Metro</x:v>
      </x:c>
      <x:c r="D55" s="27" t="str">
        <x:v>Connecticut, Massachusetts, Rhode Island, New York</x:v>
      </x:c>
      <x:c r="E55" s="27" t="str">
        <x:v>Connecticut-centered foodservice distribution.</x:v>
      </x:c>
      <x:c r="F55" s="27" t="str">
        <x:v>CT,MA,RI,NY</x:v>
      </x:c>
      <x:c r="G55" s="27" t="str">
        <x:v>https://www.hpcfs.com</x:v>
      </x:c>
      <x:c r="H55" s="27" t="str">
        <x:v>Low</x:v>
      </x:c>
      <x:c r="I55" s="27" t="str"/>
      <x:c r="J55" s="54" t="n">
        <x:v>46217</x:v>
      </x:c>
      <x:c r="K55" s="27" t="str">
        <x:f>IF('Read Me'!$E$13="","",IF(OR($B55="National",$B55="Online nationwide",ISNUMBER(SEARCH(","&amp;'Read Me'!$E$13&amp;",",","&amp;$F55&amp;","))),"MATCH",""))</x:f>
      </x:c>
    </x:row>
    <x:row r="56">
      <x:c r="A56" s="27" t="str">
        <x:v>I Supply Company</x:v>
      </x:c>
      <x:c r="B56" s="27" t="str">
        <x:v>Regional</x:v>
      </x:c>
      <x:c r="C56" s="27" t="str">
        <x:v>Ohio Valley / Midwest</x:v>
      </x:c>
      <x:c r="D56" s="27" t="str">
        <x:v>Ohio, Indiana, Kentucky, Pennsylvania, West Virginia</x:v>
      </x:c>
      <x:c r="E56" s="27" t="str">
        <x:v>Ohio-centered convenience and foodservice distribution.</x:v>
      </x:c>
      <x:c r="F56" s="27" t="str">
        <x:v>OH,IN,KY,PA,WV</x:v>
      </x:c>
      <x:c r="G56" s="27" t="str">
        <x:v>https://www.isupplyco.com</x:v>
      </x:c>
      <x:c r="H56" s="27" t="str">
        <x:v>Low</x:v>
      </x:c>
      <x:c r="I56" s="27" t="str"/>
      <x:c r="J56" s="54" t="n">
        <x:v>46217</x:v>
      </x:c>
      <x:c r="K56" s="27" t="str">
        <x:f>IF('Read Me'!$E$13="","",IF(OR($B56="National",$B56="Online nationwide",ISNUMBER(SEARCH(","&amp;'Read Me'!$E$13&amp;",",","&amp;$F56&amp;","))),"MATCH",""))</x:f>
      </x:c>
    </x:row>
    <x:row r="57">
      <x:c r="A57" s="27" t="str">
        <x:v>IFD Foodservice Distributor</x:v>
      </x:c>
      <x:c r="B57" s="27" t="str">
        <x:v>Regional</x:v>
      </x:c>
      <x:c r="C57" s="27" t="str">
        <x:v>Upper Midwest</x:v>
      </x:c>
      <x:c r="D57" s="27" t="str">
        <x:v>Wisconsin, Minnesota, Michigan, Iowa</x:v>
      </x:c>
      <x:c r="E57" s="27" t="str">
        <x:v>Wisconsin-centered foodservice distribution.</x:v>
      </x:c>
      <x:c r="F57" s="27" t="str">
        <x:v>WI,MN,MI,IA</x:v>
      </x:c>
      <x:c r="G57" s="27" t="str">
        <x:v>https://www.callifd.com</x:v>
      </x:c>
      <x:c r="H57" s="27" t="str">
        <x:v>Low</x:v>
      </x:c>
      <x:c r="I57" s="27" t="str"/>
      <x:c r="J57" s="54" t="n">
        <x:v>46217</x:v>
      </x:c>
      <x:c r="K57" s="27" t="str">
        <x:f>IF('Read Me'!$E$13="","",IF(OR($B57="National",$B57="Online nationwide",ISNUMBER(SEARCH(","&amp;'Read Me'!$E$13&amp;",",","&amp;$F57&amp;","))),"MATCH",""))</x:f>
      </x:c>
    </x:row>
    <x:row r="58">
      <x:c r="A58" s="27" t="str">
        <x:v>Independent Marketing Alliance</x:v>
      </x:c>
      <x:c r="B58" s="27" t="str">
        <x:v>Distributor network</x:v>
      </x:c>
      <x:c r="C58" s="27" t="str">
        <x:v>National network</x:v>
      </x:c>
      <x:c r="D58" s="27" t="str"/>
      <x:c r="E58" s="27" t="str">
        <x:v>National member alliance; customer matching should occur at the local distributor level.</x:v>
      </x:c>
      <x:c r="F58" s="27" t="str"/>
      <x:c r="G58" s="27" t="str">
        <x:v>https://www.imaforce.com</x:v>
      </x:c>
      <x:c r="H58" s="27" t="str">
        <x:v>High</x:v>
      </x:c>
      <x:c r="I58" s="27" t="str"/>
      <x:c r="J58" s="54" t="n">
        <x:v>46217</x:v>
      </x:c>
      <x:c r="K58" s="27" t="str">
        <x:f>IF('Read Me'!$E$13="","",IF(OR($B58="National",$B58="Online nationwide",ISNUMBER(SEARCH(","&amp;'Read Me'!$E$13&amp;",",","&amp;$F58&amp;","))),"MATCH",""))</x:f>
      </x:c>
    </x:row>
    <x:row r="59">
      <x:c r="A59" s="27" t="str">
        <x:v>Imler's Poultry</x:v>
      </x:c>
      <x:c r="B59" s="27" t="str">
        <x:v>Regional</x:v>
      </x:c>
      <x:c r="C59" s="27" t="str">
        <x:v>Mid-Atlantic / Appalachia</x:v>
      </x:c>
      <x:c r="D59" s="27" t="str">
        <x:v>Pennsylvania, Maryland, Virginia, West Virginia, Ohio</x:v>
      </x:c>
      <x:c r="E59" s="27" t="str">
        <x:v>Pennsylvania-centered poultry and specialty distribution.</x:v>
      </x:c>
      <x:c r="F59" s="27" t="str">
        <x:v>PA,MD,VA,WV,OH</x:v>
      </x:c>
      <x:c r="G59" s="27" t="str">
        <x:v>https://imlerspoultry.com</x:v>
      </x:c>
      <x:c r="H59" s="27" t="str">
        <x:v>Low</x:v>
      </x:c>
      <x:c r="I59" s="27" t="str"/>
      <x:c r="J59" s="54" t="n">
        <x:v>46217</x:v>
      </x:c>
      <x:c r="K59" s="27" t="str">
        <x:f>IF('Read Me'!$E$13="","",IF(OR($B59="National",$B59="Online nationwide",ISNUMBER(SEARCH(","&amp;'Read Me'!$E$13&amp;",",","&amp;$F59&amp;","))),"MATCH",""))</x:f>
      </x:c>
    </x:row>
    <x:row r="60">
      <x:c r="A60" s="27" t="str">
        <x:v>Jake's Finer Foods</x:v>
      </x:c>
      <x:c r="B60" s="27" t="str">
        <x:v>Regional</x:v>
      </x:c>
      <x:c r="C60" s="27" t="str">
        <x:v>Texas / Gulf Coast</x:v>
      </x:c>
      <x:c r="D60" s="27" t="str">
        <x:v>Texas, Louisiana</x:v>
      </x:c>
      <x:c r="E60" s="27" t="str">
        <x:v>Houston-centered broadline and specialty distribution.</x:v>
      </x:c>
      <x:c r="F60" s="27" t="str">
        <x:v>TX,LA</x:v>
      </x:c>
      <x:c r="G60" s="27" t="str">
        <x:v>https://www.jakesfinerfoods.com</x:v>
      </x:c>
      <x:c r="H60" s="27" t="str">
        <x:v>Medium</x:v>
      </x:c>
      <x:c r="I60" s="27" t="str"/>
      <x:c r="J60" s="54" t="n">
        <x:v>46217</x:v>
      </x:c>
      <x:c r="K60" s="27" t="str">
        <x:f>IF('Read Me'!$E$13="","",IF(OR($B60="National",$B60="Online nationwide",ISNUMBER(SEARCH(","&amp;'Read Me'!$E$13&amp;",",","&amp;$F60&amp;","))),"MATCH",""))</x:f>
      </x:c>
    </x:row>
    <x:row r="61">
      <x:c r="A61" s="27" t="str">
        <x:v>Jangbogo Foodbank</x:v>
      </x:c>
      <x:c r="B61" s="27" t="str">
        <x:v>Local / regional</x:v>
      </x:c>
      <x:c r="C61" s="27" t="str">
        <x:v>Chicago / Upper Midwest</x:v>
      </x:c>
      <x:c r="D61" s="27" t="str">
        <x:v>Illinois, Indiana, Wisconsin</x:v>
      </x:c>
      <x:c r="E61" s="27" t="str">
        <x:v>Chicago-centered Asian specialty distribution.</x:v>
      </x:c>
      <x:c r="F61" s="27" t="str">
        <x:v>IL,IN,WI</x:v>
      </x:c>
      <x:c r="G61" s="27" t="str">
        <x:v>https://jangfood.com</x:v>
      </x:c>
      <x:c r="H61" s="27" t="str">
        <x:v>Low</x:v>
      </x:c>
      <x:c r="I61" s="27" t="str"/>
      <x:c r="J61" s="54" t="n">
        <x:v>46217</x:v>
      </x:c>
      <x:c r="K61" s="27" t="str">
        <x:f>IF('Read Me'!$E$13="","",IF(OR($B61="National",$B61="Online nationwide",ISNUMBER(SEARCH(","&amp;'Read Me'!$E$13&amp;",",","&amp;$F61&amp;","))),"MATCH",""))</x:f>
      </x:c>
    </x:row>
    <x:row r="62">
      <x:c r="A62" s="27" t="str">
        <x:v>JD Food</x:v>
      </x:c>
      <x:c r="B62" s="27" t="str">
        <x:v>Regional</x:v>
      </x:c>
      <x:c r="C62" s="27" t="str">
        <x:v>California</x:v>
      </x:c>
      <x:c r="D62" s="27" t="str">
        <x:v>California, Nevada</x:v>
      </x:c>
      <x:c r="E62" s="27" t="str">
        <x:v>California-centered regional broadline distribution.</x:v>
      </x:c>
      <x:c r="F62" s="27" t="str">
        <x:v>CA,NV</x:v>
      </x:c>
      <x:c r="G62" s="27" t="str">
        <x:v>https://jdfood.com</x:v>
      </x:c>
      <x:c r="H62" s="27" t="str">
        <x:v>Low</x:v>
      </x:c>
      <x:c r="I62" s="27" t="str"/>
      <x:c r="J62" s="54" t="n">
        <x:v>46217</x:v>
      </x:c>
      <x:c r="K62" s="27" t="str">
        <x:f>IF('Read Me'!$E$13="","",IF(OR($B62="National",$B62="Online nationwide",ISNUMBER(SEARCH(","&amp;'Read Me'!$E$13&amp;",",","&amp;$F62&amp;","))),"MATCH",""))</x:f>
      </x:c>
    </x:row>
    <x:row r="63">
      <x:c r="A63" s="27" t="str">
        <x:v>Johnson Bros. Bakery Supply</x:v>
      </x:c>
      <x:c r="B63" s="27" t="str">
        <x:v>Regional</x:v>
      </x:c>
      <x:c r="C63" s="27" t="str">
        <x:v>South Central</x:v>
      </x:c>
      <x:c r="D63" s="27" t="str">
        <x:v>Texas, Oklahoma, Louisiana</x:v>
      </x:c>
      <x:c r="E63" s="27" t="str">
        <x:v>Texas-centered bakery-ingredient distribution.</x:v>
      </x:c>
      <x:c r="F63" s="27" t="str">
        <x:v>TX,OK,LA</x:v>
      </x:c>
      <x:c r="G63" s="27" t="str">
        <x:v>https://jbrosbakerysupply.com</x:v>
      </x:c>
      <x:c r="H63" s="27" t="str">
        <x:v>Low</x:v>
      </x:c>
      <x:c r="I63" s="27" t="str"/>
      <x:c r="J63" s="54" t="n">
        <x:v>46217</x:v>
      </x:c>
      <x:c r="K63" s="27" t="str">
        <x:f>IF('Read Me'!$E$13="","",IF(OR($B63="National",$B63="Online nationwide",ISNUMBER(SEARCH(","&amp;'Read Me'!$E$13&amp;",",","&amp;$F63&amp;","))),"MATCH",""))</x:f>
      </x:c>
    </x:row>
    <x:row r="64">
      <x:c r="A64" s="27" t="str">
        <x:v>Jordano's Foodservice, Inc.</x:v>
      </x:c>
      <x:c r="B64" s="27" t="str">
        <x:v>Regional</x:v>
      </x:c>
      <x:c r="C64" s="27" t="str">
        <x:v>Southern / Central California</x:v>
      </x:c>
      <x:c r="D64" s="27" t="str">
        <x:v>California</x:v>
      </x:c>
      <x:c r="E64" s="27" t="str">
        <x:v>California regional foodservice distribution.</x:v>
      </x:c>
      <x:c r="F64" s="27" t="str">
        <x:v>CA</x:v>
      </x:c>
      <x:c r="G64" s="27" t="str">
        <x:v>https://jordanos.com</x:v>
      </x:c>
      <x:c r="H64" s="27" t="str">
        <x:v>Medium</x:v>
      </x:c>
      <x:c r="I64" s="27" t="str"/>
      <x:c r="J64" s="54" t="n">
        <x:v>46217</x:v>
      </x:c>
      <x:c r="K64" s="27" t="str">
        <x:f>IF('Read Me'!$E$13="","",IF(OR($B64="National",$B64="Online nationwide",ISNUMBER(SEARCH(","&amp;'Read Me'!$E$13&amp;",",","&amp;$F64&amp;","))),"MATCH",""))</x:f>
      </x:c>
    </x:row>
    <x:row r="65">
      <x:c r="A65" s="27" t="str">
        <x:v>KAST Distributors, Inc.</x:v>
      </x:c>
      <x:c r="B65" s="27" t="str">
        <x:v>Regional</x:v>
      </x:c>
      <x:c r="C65" s="27" t="str">
        <x:v>Northeast</x:v>
      </x:c>
      <x:c r="D65" s="27" t="str">
        <x:v>Pennsylvania, New Jersey, New York</x:v>
      </x:c>
      <x:c r="E65" s="27" t="str">
        <x:v>Pennsylvania-centered regional distribution.</x:v>
      </x:c>
      <x:c r="F65" s="27" t="str">
        <x:v>PA,NJ,NY</x:v>
      </x:c>
      <x:c r="G65" s="27" t="str">
        <x:v>https://www.kastdistributors.com</x:v>
      </x:c>
      <x:c r="H65" s="27" t="str">
        <x:v>Low</x:v>
      </x:c>
      <x:c r="I65" s="27" t="str"/>
      <x:c r="J65" s="54" t="n">
        <x:v>46217</x:v>
      </x:c>
      <x:c r="K65" s="27" t="str">
        <x:f>IF('Read Me'!$E$13="","",IF(OR($B65="National",$B65="Online nationwide",ISNUMBER(SEARCH(","&amp;'Read Me'!$E$13&amp;",",","&amp;$F65&amp;","))),"MATCH",""))</x:f>
      </x:c>
    </x:row>
    <x:row r="66">
      <x:c r="A66" s="27" t="str">
        <x:v>Keck's Food Service, Inc.</x:v>
      </x:c>
      <x:c r="B66" s="27" t="str">
        <x:v>Regional</x:v>
      </x:c>
      <x:c r="C66" s="27" t="str">
        <x:v>Mid-Atlantic / Appalachia</x:v>
      </x:c>
      <x:c r="D66" s="27" t="str">
        <x:v>Pennsylvania, Maryland, Virginia, West Virginia</x:v>
      </x:c>
      <x:c r="E66" s="27" t="str">
        <x:v>Pennsylvania-centered foodservice distribution.</x:v>
      </x:c>
      <x:c r="F66" s="27" t="str">
        <x:v>PA,MD,VA,WV</x:v>
      </x:c>
      <x:c r="G66" s="27" t="str">
        <x:v>https://www.kecksfoodservice.com</x:v>
      </x:c>
      <x:c r="H66" s="27" t="str">
        <x:v>Low</x:v>
      </x:c>
      <x:c r="I66" s="27" t="str"/>
      <x:c r="J66" s="54" t="n">
        <x:v>46217</x:v>
      </x:c>
      <x:c r="K66" s="27" t="str">
        <x:f>IF('Read Me'!$E$13="","",IF(OR($B66="National",$B66="Online nationwide",ISNUMBER(SEARCH(","&amp;'Read Me'!$E$13&amp;",",","&amp;$F66&amp;","))),"MATCH",""))</x:f>
      </x:c>
    </x:row>
    <x:row r="67">
      <x:c r="A67" s="27" t="str">
        <x:v>Kohl Wholesale</x:v>
      </x:c>
      <x:c r="B67" s="27" t="str">
        <x:v>Regional</x:v>
      </x:c>
      <x:c r="C67" s="27" t="str">
        <x:v>Midwest</x:v>
      </x:c>
      <x:c r="D67" s="27" t="str">
        <x:v>Illinois, Iowa, Missouri</x:v>
      </x:c>
      <x:c r="E67" s="27" t="str">
        <x:v>Publishes service in Illinois, Iowa and Missouri.</x:v>
      </x:c>
      <x:c r="F67" s="27" t="str">
        <x:v>IL,IA,MO</x:v>
      </x:c>
      <x:c r="G67" s="27" t="str">
        <x:v>https://www.kohlwholesale.com</x:v>
      </x:c>
      <x:c r="H67" s="27" t="str">
        <x:v>High</x:v>
      </x:c>
      <x:c r="I67" s="27" t="str"/>
      <x:c r="J67" s="54" t="n">
        <x:v>46217</x:v>
      </x:c>
      <x:c r="K67" s="27" t="str">
        <x:f>IF('Read Me'!$E$13="","",IF(OR($B67="National",$B67="Online nationwide",ISNUMBER(SEARCH(","&amp;'Read Me'!$E$13&amp;",",","&amp;$F67&amp;","))),"MATCH",""))</x:f>
      </x:c>
    </x:row>
    <x:row r="68">
      <x:c r="A68" s="27" t="str">
        <x:v>Kuna Foodservice</x:v>
      </x:c>
      <x:c r="B68" s="27" t="str">
        <x:v>Multi-regional</x:v>
      </x:c>
      <x:c r="C68" s="27" t="str">
        <x:v>Midwest / South</x:v>
      </x:c>
      <x:c r="D68" s="27" t="str">
        <x:v>Missouri, Illinois, Iowa, Wisconsin, Indiana, Michigan, Kentucky, Ohio, Arkansas, Mississippi, Alabama</x:v>
      </x:c>
      <x:c r="E68" s="27" t="str">
        <x:v>Official site names these states within a larger reported multi-state footprint.</x:v>
      </x:c>
      <x:c r="F68" s="27" t="str">
        <x:v>MO,IL,IA,WI,IN,MI,KY,OH,AR,MS,AL</x:v>
      </x:c>
      <x:c r="G68" s="27" t="str">
        <x:v>https://www.kunafoodservice.com</x:v>
      </x:c>
      <x:c r="H68" s="27" t="str">
        <x:v>High</x:v>
      </x:c>
      <x:c r="I68" s="27" t="str">
        <x:v>The company reports serving more states than the publicly named list; unnamed states are not auto-matched.</x:v>
      </x:c>
      <x:c r="J68" s="54" t="n">
        <x:v>46217</x:v>
      </x:c>
      <x:c r="K68" s="27" t="str">
        <x:f>IF('Read Me'!$E$13="","",IF(OR($B68="National",$B68="Online nationwide",ISNUMBER(SEARCH(","&amp;'Read Me'!$E$13&amp;",",","&amp;$F68&amp;","))),"MATCH",""))</x:f>
      </x:c>
    </x:row>
    <x:row r="69">
      <x:c r="A69" s="27" t="str">
        <x:v>Latina Boulevard Foods</x:v>
      </x:c>
      <x:c r="B69" s="27" t="str">
        <x:v>Regional</x:v>
      </x:c>
      <x:c r="C69" s="27" t="str">
        <x:v>Florida / Southeast</x:v>
      </x:c>
      <x:c r="D69" s="27" t="str">
        <x:v>Florida, Georgia</x:v>
      </x:c>
      <x:c r="E69" s="27" t="str">
        <x:v>Florida-centered Hispanic and specialty distribution.</x:v>
      </x:c>
      <x:c r="F69" s="27" t="str">
        <x:v>FL,GA</x:v>
      </x:c>
      <x:c r="G69" s="27" t="str">
        <x:v>https://www.latinaboulevardfoods.com</x:v>
      </x:c>
      <x:c r="H69" s="27" t="str">
        <x:v>Low</x:v>
      </x:c>
      <x:c r="I69" s="27" t="str"/>
      <x:c r="J69" s="54" t="n">
        <x:v>46217</x:v>
      </x:c>
      <x:c r="K69" s="27" t="str">
        <x:f>IF('Read Me'!$E$13="","",IF(OR($B69="National",$B69="Online nationwide",ISNUMBER(SEARCH(","&amp;'Read Me'!$E$13&amp;",",","&amp;$F69&amp;","))),"MATCH",""))</x:f>
        <x:v>MATCH</x:v>
      </x:c>
    </x:row>
    <x:row r="70">
      <x:c r="A70" s="27" t="str">
        <x:v>Legacy Food Group</x:v>
      </x:c>
      <x:c r="B70" s="27" t="str">
        <x:v>Distributor network</x:v>
      </x:c>
      <x:c r="C70" s="27" t="str">
        <x:v>National network</x:v>
      </x:c>
      <x:c r="D70" s="27" t="str"/>
      <x:c r="E70" s="27" t="str">
        <x:v>Distributor network; use an operating member for customer-level matching.</x:v>
      </x:c>
      <x:c r="F70" s="27" t="str"/>
      <x:c r="G70" s="27" t="str">
        <x:v>https://legacyfoodgroup.com</x:v>
      </x:c>
      <x:c r="H70" s="27" t="str">
        <x:v>High</x:v>
      </x:c>
      <x:c r="I70" s="27" t="str"/>
      <x:c r="J70" s="54" t="n">
        <x:v>46217</x:v>
      </x:c>
      <x:c r="K70" s="27" t="str">
        <x:f>IF('Read Me'!$E$13="","",IF(OR($B70="National",$B70="Online nationwide",ISNUMBER(SEARCH(","&amp;'Read Me'!$E$13&amp;",",","&amp;$F70&amp;","))),"MATCH",""))</x:f>
      </x:c>
    </x:row>
    <x:row r="71">
      <x:c r="A71" s="27" t="str">
        <x:v>Loffredo Fresh Foods</x:v>
      </x:c>
      <x:c r="B71" s="27" t="str">
        <x:v>Multi-regional</x:v>
      </x:c>
      <x:c r="C71" s="27" t="str">
        <x:v>Midwest</x:v>
      </x:c>
      <x:c r="D71" s="27" t="str">
        <x:v>Iowa, Nebraska, Illinois, Missouri, Wisconsin</x:v>
      </x:c>
      <x:c r="E71" s="27" t="str">
        <x:v>Facilities and markets include Des Moines, Omaha, the Quad Cities, Kansas City and Madison.</x:v>
      </x:c>
      <x:c r="F71" s="27" t="str">
        <x:v>IA,NE,IL,MO,WI</x:v>
      </x:c>
      <x:c r="G71" s="27" t="str">
        <x:v>https://www.loffredo.com</x:v>
      </x:c>
      <x:c r="H71" s="27" t="str">
        <x:v>High</x:v>
      </x:c>
      <x:c r="I71" s="27" t="str"/>
      <x:c r="J71" s="54" t="n">
        <x:v>46217</x:v>
      </x:c>
      <x:c r="K71" s="27" t="str">
        <x:f>IF('Read Me'!$E$13="","",IF(OR($B71="National",$B71="Online nationwide",ISNUMBER(SEARCH(","&amp;'Read Me'!$E$13&amp;",",","&amp;$F71&amp;","))),"MATCH",""))</x:f>
      </x:c>
    </x:row>
    <x:row r="72">
      <x:c r="A72" s="27" t="str">
        <x:v>Lumina Foods, LLC</x:v>
      </x:c>
      <x:c r="B72" s="27" t="str">
        <x:v>Regional</x:v>
      </x:c>
      <x:c r="C72" s="27" t="str">
        <x:v>Southeast / Ohio Valley</x:v>
      </x:c>
      <x:c r="D72" s="27" t="str">
        <x:v>Tennessee, Kentucky, Georgia, Alabama, Indiana, Ohio</x:v>
      </x:c>
      <x:c r="E72" s="27" t="str">
        <x:v>Nashville-centered pizza and specialty distribution.</x:v>
      </x:c>
      <x:c r="F72" s="27" t="str">
        <x:v>TN,KY,GA,AL,IN,OH</x:v>
      </x:c>
      <x:c r="G72" s="27" t="str">
        <x:v>https://luminafoods.com</x:v>
      </x:c>
      <x:c r="H72" s="27" t="str">
        <x:v>Low</x:v>
      </x:c>
      <x:c r="I72" s="27" t="str"/>
      <x:c r="J72" s="54" t="n">
        <x:v>46217</x:v>
      </x:c>
      <x:c r="K72" s="27" t="str">
        <x:f>IF('Read Me'!$E$13="","",IF(OR($B72="National",$B72="Online nationwide",ISNUMBER(SEARCH(","&amp;'Read Me'!$E$13&amp;",",","&amp;$F72&amp;","))),"MATCH",""))</x:f>
      </x:c>
    </x:row>
    <x:row r="73">
      <x:c r="A73" s="27" t="str">
        <x:v>Maximum Quality Foods</x:v>
      </x:c>
      <x:c r="B73" s="27" t="str">
        <x:v>Regional</x:v>
      </x:c>
      <x:c r="C73" s="27" t="str">
        <x:v>Northeast / Mid-Atlantic</x:v>
      </x:c>
      <x:c r="D73" s="27" t="str">
        <x:v>New Jersey, New York, Pennsylvania, Connecticut, Delaware, Maryland</x:v>
      </x:c>
      <x:c r="E73" s="27" t="str">
        <x:v>New Jersey-centered specialty and broadline distribution.</x:v>
      </x:c>
      <x:c r="F73" s="27" t="str">
        <x:v>NJ,NY,PA,CT,DE,MD</x:v>
      </x:c>
      <x:c r="G73" s="27" t="str">
        <x:v>https://maximumqualityfoods.com</x:v>
      </x:c>
      <x:c r="H73" s="27" t="str">
        <x:v>Low</x:v>
      </x:c>
      <x:c r="I73" s="27" t="str"/>
      <x:c r="J73" s="54" t="n">
        <x:v>46217</x:v>
      </x:c>
      <x:c r="K73" s="27" t="str">
        <x:f>IF('Read Me'!$E$13="","",IF(OR($B73="National",$B73="Online nationwide",ISNUMBER(SEARCH(","&amp;'Read Me'!$E$13&amp;",",","&amp;$F73&amp;","))),"MATCH",""))</x:f>
      </x:c>
    </x:row>
    <x:row r="74">
      <x:c r="A74" s="27" t="str">
        <x:v>M.J. Kellner Company, Inc.</x:v>
      </x:c>
      <x:c r="B74" s="27" t="str">
        <x:v>Regional</x:v>
      </x:c>
      <x:c r="C74" s="27" t="str">
        <x:v>Midwest</x:v>
      </x:c>
      <x:c r="D74" s="27" t="str">
        <x:v>Illinois, Missouri, Indiana, Iowa</x:v>
      </x:c>
      <x:c r="E74" s="27" t="str">
        <x:v>Illinois-centered regional distribution.</x:v>
      </x:c>
      <x:c r="F74" s="27" t="str">
        <x:v>IL,MO,IN,IA</x:v>
      </x:c>
      <x:c r="G74" s="27" t="str">
        <x:v>https://www.mjkellner.com</x:v>
      </x:c>
      <x:c r="H74" s="27" t="str">
        <x:v>Low</x:v>
      </x:c>
      <x:c r="I74" s="27" t="str"/>
      <x:c r="J74" s="54" t="n">
        <x:v>46217</x:v>
      </x:c>
      <x:c r="K74" s="27" t="str">
        <x:f>IF('Read Me'!$E$13="","",IF(OR($B74="National",$B74="Online nationwide",ISNUMBER(SEARCH(","&amp;'Read Me'!$E$13&amp;",",","&amp;$F74&amp;","))),"MATCH",""))</x:f>
      </x:c>
    </x:row>
    <x:row r="75">
      <x:c r="A75" s="27" t="str">
        <x:v>Maplevale Farms, Inc.</x:v>
      </x:c>
      <x:c r="B75" s="27" t="str">
        <x:v>Regional</x:v>
      </x:c>
      <x:c r="C75" s="27" t="str">
        <x:v>Great Lakes / Northeast</x:v>
      </x:c>
      <x:c r="D75" s="27" t="str">
        <x:v>New York, Pennsylvania, Ohio</x:v>
      </x:c>
      <x:c r="E75" s="27" t="str">
        <x:v>Western New York, northwestern Pennsylvania and eastern Ohio.</x:v>
      </x:c>
      <x:c r="F75" s="27" t="str">
        <x:v>NY,PA,OH</x:v>
      </x:c>
      <x:c r="G75" s="27" t="str">
        <x:v>https://maplevalefarms.com</x:v>
      </x:c>
      <x:c r="H75" s="27" t="str">
        <x:v>High</x:v>
      </x:c>
      <x:c r="I75" s="27" t="str"/>
      <x:c r="J75" s="54" t="n">
        <x:v>46217</x:v>
      </x:c>
      <x:c r="K75" s="27" t="str">
        <x:f>IF('Read Me'!$E$13="","",IF(OR($B75="National",$B75="Online nationwide",ISNUMBER(SEARCH(","&amp;'Read Me'!$E$13&amp;",",","&amp;$F75&amp;","))),"MATCH",""))</x:f>
      </x:c>
    </x:row>
    <x:row r="76">
      <x:c r="A76" s="27" t="str">
        <x:v>Martin Bros. Distributing Co., Inc.</x:v>
      </x:c>
      <x:c r="B76" s="27" t="str">
        <x:v>Multi-regional</x:v>
      </x:c>
      <x:c r="C76" s="27" t="str">
        <x:v>Midwest</x:v>
      </x:c>
      <x:c r="D76" s="27" t="str">
        <x:v>Iowa, Illinois, Wisconsin, Nebraska, Missouri, Minnesota</x:v>
      </x:c>
      <x:c r="E76" s="27" t="str">
        <x:v>Publishes service across six Midwestern states.</x:v>
      </x:c>
      <x:c r="F76" s="27" t="str">
        <x:v>IA,IL,WI,NE,MO,MN</x:v>
      </x:c>
      <x:c r="G76" s="27" t="str">
        <x:v>https://www2.martinsnet.com</x:v>
      </x:c>
      <x:c r="H76" s="27" t="str">
        <x:v>High</x:v>
      </x:c>
      <x:c r="I76" s="27" t="str"/>
      <x:c r="J76" s="54" t="n">
        <x:v>46217</x:v>
      </x:c>
      <x:c r="K76" s="27" t="str">
        <x:f>IF('Read Me'!$E$13="","",IF(OR($B76="National",$B76="Online nationwide",ISNUMBER(SEARCH(","&amp;'Read Me'!$E$13&amp;",",","&amp;$F76&amp;","))),"MATCH",""))</x:f>
      </x:c>
    </x:row>
    <x:row r="77">
      <x:c r="A77" s="27" t="str">
        <x:v>McDonald Wholesale Company</x:v>
      </x:c>
      <x:c r="B77" s="27" t="str">
        <x:v>Regional</x:v>
      </x:c>
      <x:c r="C77" s="27" t="str">
        <x:v>Pacific Northwest</x:v>
      </x:c>
      <x:c r="D77" s="27" t="str">
        <x:v>Oregon, Washington, Idaho, California</x:v>
      </x:c>
      <x:c r="E77" s="27" t="str">
        <x:v>Oregon-centered Pacific Northwest distribution, with nearby routes.</x:v>
      </x:c>
      <x:c r="F77" s="27" t="str">
        <x:v>OR,WA,ID,CA</x:v>
      </x:c>
      <x:c r="G77" s="27" t="str">
        <x:v>https://www.mcdonaldwhsl.com</x:v>
      </x:c>
      <x:c r="H77" s="27" t="str">
        <x:v>Low</x:v>
      </x:c>
      <x:c r="I77" s="27" t="str"/>
      <x:c r="J77" s="54" t="n">
        <x:v>46217</x:v>
      </x:c>
      <x:c r="K77" s="27" t="str">
        <x:f>IF('Read Me'!$E$13="","",IF(OR($B77="National",$B77="Online nationwide",ISNUMBER(SEARCH(","&amp;'Read Me'!$E$13&amp;",",","&amp;$F77&amp;","))),"MATCH",""))</x:f>
      </x:c>
    </x:row>
    <x:row r="78">
      <x:c r="A78" s="27" t="str">
        <x:v>McLane Foodservice, Inc.</x:v>
      </x:c>
      <x:c r="B78" s="27" t="str">
        <x:v>National</x:v>
      </x:c>
      <x:c r="C78" s="27" t="str">
        <x:v>Nationwide</x:v>
      </x:c>
      <x:c r="D78" s="27" t="str"/>
      <x:c r="E78" s="27" t="str">
        <x:v>National chain, convenience and foodservice logistics network.</x:v>
      </x:c>
      <x:c r="F78" s="27" t="str"/>
      <x:c r="G78" s="27" t="str">
        <x:v>https://www.mclaneco.com</x:v>
      </x:c>
      <x:c r="H78" s="27" t="str">
        <x:v>High</x:v>
      </x:c>
      <x:c r="I78" s="27" t="str"/>
      <x:c r="J78" s="54" t="n">
        <x:v>46217</x:v>
      </x:c>
      <x:c r="K78" s="27" t="str">
        <x:f>IF('Read Me'!$E$13="","",IF(OR($B78="National",$B78="Online nationwide",ISNUMBER(SEARCH(","&amp;'Read Me'!$E$13&amp;",",","&amp;$F78&amp;","))),"MATCH",""))</x:f>
        <x:v>MATCH</x:v>
      </x:c>
    </x:row>
    <x:row r="79">
      <x:c r="A79" s="27" t="str">
        <x:v>Mendez &amp; Co., Inc.</x:v>
      </x:c>
      <x:c r="B79" s="27" t="str">
        <x:v>Territory-wide</x:v>
      </x:c>
      <x:c r="C79" s="27" t="str">
        <x:v>Puerto Rico</x:v>
      </x:c>
      <x:c r="D79" s="27" t="str">
        <x:v>Puerto Rico</x:v>
      </x:c>
      <x:c r="E79" s="27" t="str">
        <x:v>Puerto Rico foodservice and beverage distribution.</x:v>
      </x:c>
      <x:c r="F79" s="27" t="str">
        <x:v>PR</x:v>
      </x:c>
      <x:c r="G79" s="27" t="str">
        <x:v>https://www.mendezcopr.com</x:v>
      </x:c>
      <x:c r="H79" s="27" t="str">
        <x:v>High</x:v>
      </x:c>
      <x:c r="I79" s="27" t="str"/>
      <x:c r="J79" s="54" t="n">
        <x:v>46217</x:v>
      </x:c>
      <x:c r="K79" s="27" t="str">
        <x:f>IF('Read Me'!$E$13="","",IF(OR($B79="National",$B79="Online nationwide",ISNUMBER(SEARCH(","&amp;'Read Me'!$E$13&amp;",",","&amp;$F79&amp;","))),"MATCH",""))</x:f>
      </x:c>
    </x:row>
    <x:row r="80">
      <x:c r="A80" s="27" t="str">
        <x:v>Merchants Grocery Co. Inc.</x:v>
      </x:c>
      <x:c r="B80" s="27" t="str">
        <x:v>Regional</x:v>
      </x:c>
      <x:c r="C80" s="27" t="str">
        <x:v>Mid-Atlantic / Appalachia</x:v>
      </x:c>
      <x:c r="D80" s="27" t="str">
        <x:v>Virginia, West Virginia, Maryland, North Carolina, Pennsylvania</x:v>
      </x:c>
      <x:c r="E80" s="27" t="str">
        <x:v>Virginia-centered convenience and foodservice distribution.</x:v>
      </x:c>
      <x:c r="F80" s="27" t="str">
        <x:v>VA,WV,MD,NC,PA</x:v>
      </x:c>
      <x:c r="G80" s="27" t="str">
        <x:v>https://merchants-grocery.com</x:v>
      </x:c>
      <x:c r="H80" s="27" t="str">
        <x:v>Low</x:v>
      </x:c>
      <x:c r="I80" s="27" t="str"/>
      <x:c r="J80" s="54" t="n">
        <x:v>46217</x:v>
      </x:c>
      <x:c r="K80" s="27" t="str">
        <x:f>IF('Read Me'!$E$13="","",IF(OR($B80="National",$B80="Online nationwide",ISNUMBER(SEARCH(","&amp;'Read Me'!$E$13&amp;",",","&amp;$F80&amp;","))),"MATCH",""))</x:f>
      </x:c>
    </x:row>
    <x:row r="81">
      <x:c r="A81" s="27" t="str">
        <x:v>Multi Plus DM Inc.</x:v>
      </x:c>
      <x:c r="B81" s="27" t="str">
        <x:v>Regional</x:v>
      </x:c>
      <x:c r="C81" s="27" t="str">
        <x:v>Florida / Caribbean gateway</x:v>
      </x:c>
      <x:c r="D81" s="27" t="str">
        <x:v>Florida</x:v>
      </x:c>
      <x:c r="E81" s="27" t="str">
        <x:v>South Florida-centered specialty distribution.</x:v>
      </x:c>
      <x:c r="F81" s="27" t="str">
        <x:v>FL</x:v>
      </x:c>
      <x:c r="G81" s="27" t="str">
        <x:v>https://www.multiplusdm.com</x:v>
      </x:c>
      <x:c r="H81" s="27" t="str">
        <x:v>Low</x:v>
      </x:c>
      <x:c r="I81" s="27" t="str"/>
      <x:c r="J81" s="54" t="n">
        <x:v>46217</x:v>
      </x:c>
      <x:c r="K81" s="27" t="str">
        <x:f>IF('Read Me'!$E$13="","",IF(OR($B81="National",$B81="Online nationwide",ISNUMBER(SEARCH(","&amp;'Read Me'!$E$13&amp;",",","&amp;$F81&amp;","))),"MATCH",""))</x:f>
        <x:v>MATCH</x:v>
      </x:c>
    </x:row>
    <x:row r="82">
      <x:c r="A82" s="27" t="str">
        <x:v>National DCP</x:v>
      </x:c>
      <x:c r="B82" s="27" t="str">
        <x:v>Closed system</x:v>
      </x:c>
      <x:c r="C82" s="27" t="str">
        <x:v>Dunkin' system footprint</x:v>
      </x:c>
      <x:c r="D82" s="27" t="str"/>
      <x:c r="E82" s="27" t="str">
        <x:v>Member-owned supply cooperative serving Dunkin' franchisees.</x:v>
      </x:c>
      <x:c r="F82" s="27" t="str"/>
      <x:c r="G82" s="27" t="str">
        <x:v>https://nationaldcp.com</x:v>
      </x:c>
      <x:c r="H82" s="27" t="str">
        <x:v>High</x:v>
      </x:c>
      <x:c r="I82" s="27" t="str"/>
      <x:c r="J82" s="54" t="n">
        <x:v>46217</x:v>
      </x:c>
      <x:c r="K82" s="27" t="str">
        <x:f>IF('Read Me'!$E$13="","",IF(OR($B82="National",$B82="Online nationwide",ISNUMBER(SEARCH(","&amp;'Read Me'!$E$13&amp;",",","&amp;$F82&amp;","))),"MATCH",""))</x:f>
      </x:c>
    </x:row>
    <x:row r="83">
      <x:c r="A83" s="27" t="str">
        <x:v>Navis Food Partners</x:v>
      </x:c>
      <x:c r="B83" s="27" t="str">
        <x:v>Distributor network</x:v>
      </x:c>
      <x:c r="C83" s="27" t="str">
        <x:v>National network</x:v>
      </x:c>
      <x:c r="D83" s="27" t="str"/>
      <x:c r="E83" s="27" t="str">
        <x:v>Distributor network; customer geography should be resolved through the appropriate member.</x:v>
      </x:c>
      <x:c r="F83" s="27" t="str"/>
      <x:c r="G83" s="27" t="str">
        <x:v>https://navisfood.com</x:v>
      </x:c>
      <x:c r="H83" s="27" t="str">
        <x:v>High</x:v>
      </x:c>
      <x:c r="I83" s="27" t="str"/>
      <x:c r="J83" s="54" t="n">
        <x:v>46217</x:v>
      </x:c>
      <x:c r="K83" s="27" t="str">
        <x:f>IF('Read Me'!$E$13="","",IF(OR($B83="National",$B83="Online nationwide",ISNUMBER(SEARCH(","&amp;'Read Me'!$E$13&amp;",",","&amp;$F83&amp;","))),"MATCH",""))</x:f>
      </x:c>
    </x:row>
    <x:row r="84">
      <x:c r="A84" s="27" t="str">
        <x:v>Nicholas and Company, Inc.</x:v>
      </x:c>
      <x:c r="B84" s="27" t="str">
        <x:v>Multi-regional</x:v>
      </x:c>
      <x:c r="C84" s="27" t="str">
        <x:v>Mountain West</x:v>
      </x:c>
      <x:c r="D84" s="27" t="str">
        <x:v>Utah, Nevada, Idaho, Wyoming, Montana, Arizona</x:v>
      </x:c>
      <x:c r="E84" s="27" t="str">
        <x:v>Utah, Nevada and defined portions of Idaho, Wyoming, Montana and Arizona.</x:v>
      </x:c>
      <x:c r="F84" s="27" t="str">
        <x:v>UT,NV,ID,WY,MT,AZ</x:v>
      </x:c>
      <x:c r="G84" s="27" t="str">
        <x:v>https://www.nicholasandco.com</x:v>
      </x:c>
      <x:c r="H84" s="27" t="str">
        <x:v>High</x:v>
      </x:c>
      <x:c r="I84" s="27" t="str">
        <x:v>Several states are partial-market territories; verify ZIP.</x:v>
      </x:c>
      <x:c r="J84" s="54" t="n">
        <x:v>46217</x:v>
      </x:c>
      <x:c r="K84" s="27" t="str">
        <x:f>IF('Read Me'!$E$13="","",IF(OR($B84="National",$B84="Online nationwide",ISNUMBER(SEARCH(","&amp;'Read Me'!$E$13&amp;",",","&amp;$F84&amp;","))),"MATCH",""))</x:f>
      </x:c>
    </x:row>
    <x:row r="85">
      <x:c r="A85" s="27" t="str">
        <x:v>Northern Haserot Food Service</x:v>
      </x:c>
      <x:c r="B85" s="27" t="str">
        <x:v>Regional</x:v>
      </x:c>
      <x:c r="C85" s="27" t="str">
        <x:v>Great Lakes</x:v>
      </x:c>
      <x:c r="D85" s="27" t="str">
        <x:v>Ohio, Michigan</x:v>
      </x:c>
      <x:c r="E85" s="27" t="str">
        <x:v>Cleveland/Ohio and Detroit/Michigan-centered distribution, including other nearby Midwest routes.</x:v>
      </x:c>
      <x:c r="F85" s="27" t="str">
        <x:v>OH,MI</x:v>
      </x:c>
      <x:c r="G85" s="27" t="str">
        <x:v>https://www.northernhaserot.com</x:v>
      </x:c>
      <x:c r="H85" s="27" t="str">
        <x:v>Medium</x:v>
      </x:c>
      <x:c r="I85" s="27" t="str"/>
      <x:c r="J85" s="54" t="n">
        <x:v>46217</x:v>
      </x:c>
      <x:c r="K85" s="27" t="str">
        <x:f>IF('Read Me'!$E$13="","",IF(OR($B85="National",$B85="Online nationwide",ISNUMBER(SEARCH(","&amp;'Read Me'!$E$13&amp;",",","&amp;$F85&amp;","))),"MATCH",""))</x:f>
      </x:c>
    </x:row>
    <x:row r="86">
      <x:c r="A86" s="27" t="str">
        <x:v>Novick Brothers Corp.</x:v>
      </x:c>
      <x:c r="B86" s="27" t="str">
        <x:v>Regional</x:v>
      </x:c>
      <x:c r="C86" s="27" t="str">
        <x:v>Northeast / Mid-Atlantic</x:v>
      </x:c>
      <x:c r="D86" s="27" t="str">
        <x:v>New Jersey, New York, Pennsylvania, Connecticut</x:v>
      </x:c>
      <x:c r="E86" s="27" t="str">
        <x:v>New Jersey-centered foodservice and institutional distribution.</x:v>
      </x:c>
      <x:c r="F86" s="27" t="str">
        <x:v>NJ,NY,PA,CT</x:v>
      </x:c>
      <x:c r="G86" s="27" t="str">
        <x:v>https://novickcorp.com</x:v>
      </x:c>
      <x:c r="H86" s="27" t="str">
        <x:v>Low</x:v>
      </x:c>
      <x:c r="I86" s="27" t="str"/>
      <x:c r="J86" s="54" t="n">
        <x:v>46217</x:v>
      </x:c>
      <x:c r="K86" s="27" t="str">
        <x:f>IF('Read Me'!$E$13="","",IF(OR($B86="National",$B86="Online nationwide",ISNUMBER(SEARCH(","&amp;'Read Me'!$E$13&amp;",",","&amp;$F86&amp;","))),"MATCH",""))</x:f>
      </x:c>
    </x:row>
    <x:row r="87">
      <x:c r="A87" s="27" t="str">
        <x:v>Ole Tyme Produce</x:v>
      </x:c>
      <x:c r="B87" s="27" t="str">
        <x:v>Regional</x:v>
      </x:c>
      <x:c r="C87" s="27" t="str">
        <x:v>Central Midwest</x:v>
      </x:c>
      <x:c r="D87" s="27" t="str">
        <x:v>Missouri, Illinois, Kansas, Arkansas</x:v>
      </x:c>
      <x:c r="E87" s="27" t="str">
        <x:v>Missouri-centered produce distribution.</x:v>
      </x:c>
      <x:c r="F87" s="27" t="str">
        <x:v>MO,IL,KS,AR</x:v>
      </x:c>
      <x:c r="G87" s="27" t="str">
        <x:v>https://www.oletyme.com</x:v>
      </x:c>
      <x:c r="H87" s="27" t="str">
        <x:v>Low</x:v>
      </x:c>
      <x:c r="I87" s="27" t="str"/>
      <x:c r="J87" s="54" t="n">
        <x:v>46217</x:v>
      </x:c>
      <x:c r="K87" s="27" t="str">
        <x:f>IF('Read Me'!$E$13="","",IF(OR($B87="National",$B87="Online nationwide",ISNUMBER(SEARCH(","&amp;'Read Me'!$E$13&amp;",",","&amp;$F87&amp;","))),"MATCH",""))</x:f>
      </x:c>
    </x:row>
    <x:row r="88">
      <x:c r="A88" s="27" t="str">
        <x:v>Pacific Provisions Hawaii</x:v>
      </x:c>
      <x:c r="B88" s="27" t="str">
        <x:v>Territory-wide</x:v>
      </x:c>
      <x:c r="C88" s="27" t="str">
        <x:v>Hawaii</x:v>
      </x:c>
      <x:c r="D88" s="27" t="str">
        <x:v>Hawaii</x:v>
      </x:c>
      <x:c r="E88" s="27" t="str">
        <x:v>Hawaii foodservice distribution.</x:v>
      </x:c>
      <x:c r="F88" s="27" t="str">
        <x:v>HI</x:v>
      </x:c>
      <x:c r="G88" s="27" t="str">
        <x:v>https://pacificprovisionshawaii.com</x:v>
      </x:c>
      <x:c r="H88" s="27" t="str">
        <x:v>High</x:v>
      </x:c>
      <x:c r="I88" s="27" t="str"/>
      <x:c r="J88" s="54" t="n">
        <x:v>46217</x:v>
      </x:c>
      <x:c r="K88" s="27" t="str">
        <x:f>IF('Read Me'!$E$13="","",IF(OR($B88="National",$B88="Online nationwide",ISNUMBER(SEARCH(","&amp;'Read Me'!$E$13&amp;",",","&amp;$F88&amp;","))),"MATCH",""))</x:f>
      </x:c>
    </x:row>
    <x:row r="89">
      <x:c r="A89" s="27" t="str">
        <x:v>Palmer Food Services</x:v>
      </x:c>
      <x:c r="B89" s="27" t="str">
        <x:v>Regional</x:v>
      </x:c>
      <x:c r="C89" s="27" t="str">
        <x:v>New York</x:v>
      </x:c>
      <x:c r="D89" s="27" t="str">
        <x:v>New York</x:v>
      </x:c>
      <x:c r="E89" s="27" t="str">
        <x:v>Rochester and Buffalo-centered service across New York markets.</x:v>
      </x:c>
      <x:c r="F89" s="27" t="str">
        <x:v>NY</x:v>
      </x:c>
      <x:c r="G89" s="27" t="str">
        <x:v>https://palmerfoods.com</x:v>
      </x:c>
      <x:c r="H89" s="27" t="str">
        <x:v>High</x:v>
      </x:c>
      <x:c r="I89" s="27" t="str"/>
      <x:c r="J89" s="54" t="n">
        <x:v>46217</x:v>
      </x:c>
      <x:c r="K89" s="27" t="str">
        <x:f>IF('Read Me'!$E$13="","",IF(OR($B89="National",$B89="Online nationwide",ISNUMBER(SEARCH(","&amp;'Read Me'!$E$13&amp;",",","&amp;$F89&amp;","))),"MATCH",""))</x:f>
      </x:c>
    </x:row>
    <x:row r="90">
      <x:c r="A90" s="27" t="str">
        <x:v>Performance Food Group</x:v>
      </x:c>
      <x:c r="B90" s="27" t="str">
        <x:v>National</x:v>
      </x:c>
      <x:c r="C90" s="27" t="str">
        <x:v>Nationwide</x:v>
      </x:c>
      <x:c r="D90" s="27" t="str"/>
      <x:c r="E90" s="27" t="str">
        <x:v>National distribution network through Performance Foodservice, Core-Mark and Vistar.</x:v>
      </x:c>
      <x:c r="F90" s="27" t="str"/>
      <x:c r="G90" s="27" t="str">
        <x:v>https://www.pfgc.com/Our-Locations</x:v>
      </x:c>
      <x:c r="H90" s="27" t="str">
        <x:v>High</x:v>
      </x:c>
      <x:c r="I90" s="27" t="str">
        <x:v>Local operating-company and route availability still require ZIP validation.</x:v>
      </x:c>
      <x:c r="J90" s="54" t="n">
        <x:v>46217</x:v>
      </x:c>
      <x:c r="K90" s="27" t="str">
        <x:f>IF('Read Me'!$E$13="","",IF(OR($B90="National",$B90="Online nationwide",ISNUMBER(SEARCH(","&amp;'Read Me'!$E$13&amp;",",","&amp;$F90&amp;","))),"MATCH",""))</x:f>
        <x:v>MATCH</x:v>
      </x:c>
    </x:row>
    <x:row r="91">
      <x:c r="A91" s="27" t="str">
        <x:v>Phillips Food Service, LLC</x:v>
      </x:c>
      <x:c r="B91" s="27" t="str">
        <x:v>Regional</x:v>
      </x:c>
      <x:c r="C91" s="27" t="str">
        <x:v>Texas / South Central</x:v>
      </x:c>
      <x:c r="D91" s="27" t="str">
        <x:v>Texas</x:v>
      </x:c>
      <x:c r="E91" s="27" t="str">
        <x:v>Texas-centered foodservice distribution.</x:v>
      </x:c>
      <x:c r="F91" s="27" t="str">
        <x:v>TX</x:v>
      </x:c>
      <x:c r="G91" s="27" t="str">
        <x:v>https://phillipsfoodservice.net</x:v>
      </x:c>
      <x:c r="H91" s="27" t="str">
        <x:v>Low</x:v>
      </x:c>
      <x:c r="I91" s="27" t="str"/>
      <x:c r="J91" s="54" t="n">
        <x:v>46217</x:v>
      </x:c>
      <x:c r="K91" s="27" t="str">
        <x:f>IF('Read Me'!$E$13="","",IF(OR($B91="National",$B91="Online nationwide",ISNUMBER(SEARCH(","&amp;'Read Me'!$E$13&amp;",",","&amp;$F91&amp;","))),"MATCH",""))</x:f>
      </x:c>
    </x:row>
    <x:row r="92">
      <x:c r="A92" s="27" t="str">
        <x:v>Pratts Foodservice</x:v>
      </x:c>
      <x:c r="B92" s="27" t="str">
        <x:v>Regional</x:v>
      </x:c>
      <x:c r="C92" s="27" t="str">
        <x:v>Northern Plains / Upper Midwest</x:v>
      </x:c>
      <x:c r="D92" s="27" t="str">
        <x:v>Minnesota, North Dakota, South Dakota, Wisconsin, Iowa</x:v>
      </x:c>
      <x:c r="E92" s="27" t="str">
        <x:v>Northern Plains and Upper Midwest distribution.</x:v>
      </x:c>
      <x:c r="F92" s="27" t="str">
        <x:v>MN,ND,SD,WI,IA</x:v>
      </x:c>
      <x:c r="G92" s="27" t="str">
        <x:v>https://ww1.pratts.com</x:v>
      </x:c>
      <x:c r="H92" s="27" t="str">
        <x:v>Low</x:v>
      </x:c>
      <x:c r="I92" s="27" t="str"/>
      <x:c r="J92" s="54" t="n">
        <x:v>46217</x:v>
      </x:c>
      <x:c r="K92" s="27" t="str">
        <x:f>IF('Read Me'!$E$13="","",IF(OR($B92="National",$B92="Online nationwide",ISNUMBER(SEARCH(","&amp;'Read Me'!$E$13&amp;",",","&amp;$F92&amp;","))),"MATCH",""))</x:f>
      </x:c>
    </x:row>
    <x:row r="93">
      <x:c r="A93" s="27" t="str">
        <x:v>Prime Source Foods</x:v>
      </x:c>
      <x:c r="B93" s="27" t="str">
        <x:v>Regional</x:v>
      </x:c>
      <x:c r="C93" s="27" t="str">
        <x:v>New England</x:v>
      </x:c>
      <x:c r="D93" s="27" t="str">
        <x:v>New Hampshire, Maine, Massachusetts, Vermont, Connecticut, Rhode Island</x:v>
      </x:c>
      <x:c r="E93" s="27" t="str">
        <x:v>New England center-of-plate and specialty distribution.</x:v>
      </x:c>
      <x:c r="F93" s="27" t="str">
        <x:v>NH,ME,MA,VT,CT,RI</x:v>
      </x:c>
      <x:c r="G93" s="27" t="str">
        <x:v>https://www.primesourcefoods.biz</x:v>
      </x:c>
      <x:c r="H93" s="27" t="str">
        <x:v>Medium</x:v>
      </x:c>
      <x:c r="I93" s="27" t="str"/>
      <x:c r="J93" s="54" t="n">
        <x:v>46217</x:v>
      </x:c>
      <x:c r="K93" s="27" t="str">
        <x:f>IF('Read Me'!$E$13="","",IF(OR($B93="National",$B93="Online nationwide",ISNUMBER(SEARCH(","&amp;'Read Me'!$E$13&amp;",",","&amp;$F93&amp;","))),"MATCH",""))</x:f>
      </x:c>
    </x:row>
    <x:row r="94">
      <x:c r="A94" s="27" t="str">
        <x:v>Quaker Valley Foods, Inc.</x:v>
      </x:c>
      <x:c r="B94" s="27" t="str">
        <x:v>Multi-regional</x:v>
      </x:c>
      <x:c r="C94" s="27" t="str">
        <x:v>Northeast / Mid-Atlantic</x:v>
      </x:c>
      <x:c r="D94" s="27" t="str">
        <x:v>Pennsylvania, New Jersey, New York, Delaware, Maryland, District of Columbia, Virginia</x:v>
      </x:c>
      <x:c r="E94" s="27" t="str">
        <x:v>Pennsylvania-centered meat and specialty distribution throughout nearby Northeast and Mid-Atlantic markets.</x:v>
      </x:c>
      <x:c r="F94" s="27" t="str">
        <x:v>PA,NJ,NY,DE,MD,DC,VA</x:v>
      </x:c>
      <x:c r="G94" s="27" t="str">
        <x:v>https://www.quakervalleyfoods.com</x:v>
      </x:c>
      <x:c r="H94" s="27" t="str">
        <x:v>Medium</x:v>
      </x:c>
      <x:c r="I94" s="27" t="str"/>
      <x:c r="J94" s="54" t="n">
        <x:v>46217</x:v>
      </x:c>
      <x:c r="K94" s="27" t="str">
        <x:f>IF('Read Me'!$E$13="","",IF(OR($B94="National",$B94="Online nationwide",ISNUMBER(SEARCH(","&amp;'Read Me'!$E$13&amp;",",","&amp;$F94&amp;","))),"MATCH",""))</x:f>
      </x:c>
    </x:row>
    <x:row r="95">
      <x:c r="A95" s="27" t="str">
        <x:v>Quality Custom Distribution Services</x:v>
      </x:c>
      <x:c r="B95" s="27" t="str">
        <x:v>Closed system</x:v>
      </x:c>
      <x:c r="C95" s="27" t="str">
        <x:v>Contract-chain footprint</x:v>
      </x:c>
      <x:c r="D95" s="27" t="str"/>
      <x:c r="E95" s="27" t="str">
        <x:v>Contract distribution for major chain customers; generally not open to independent restaurants.</x:v>
      </x:c>
      <x:c r="F95" s="27" t="str"/>
      <x:c r="G95" s="27" t="str">
        <x:v>https://www.qualitycustomdistribution.com</x:v>
      </x:c>
      <x:c r="H95" s="27" t="str">
        <x:v>High</x:v>
      </x:c>
      <x:c r="I95" s="27" t="str"/>
      <x:c r="J95" s="54" t="n">
        <x:v>46217</x:v>
      </x:c>
      <x:c r="K95" s="27" t="str">
        <x:f>IF('Read Me'!$E$13="","",IF(OR($B95="National",$B95="Online nationwide",ISNUMBER(SEARCH(","&amp;'Read Me'!$E$13&amp;",",","&amp;$F95&amp;","))),"MATCH",""))</x:f>
      </x:c>
    </x:row>
    <x:row r="96">
      <x:c r="A96" s="27" t="str">
        <x:v>Quality Food Company</x:v>
      </x:c>
      <x:c r="B96" s="27" t="str">
        <x:v>Regional</x:v>
      </x:c>
      <x:c r="C96" s="27" t="str">
        <x:v>New England</x:v>
      </x:c>
      <x:c r="D96" s="27" t="str">
        <x:v>Massachusetts, Rhode Island, Connecticut, New Hampshire</x:v>
      </x:c>
      <x:c r="E96" s="27" t="str">
        <x:v>New England Italian and specialty distribution.</x:v>
      </x:c>
      <x:c r="F96" s="27" t="str">
        <x:v>MA,RI,CT,NH</x:v>
      </x:c>
      <x:c r="G96" s="27" t="str">
        <x:v>https://www.qualityfoodcompany.com</x:v>
      </x:c>
      <x:c r="H96" s="27" t="str">
        <x:v>Low</x:v>
      </x:c>
      <x:c r="I96" s="27" t="str"/>
      <x:c r="J96" s="54" t="n">
        <x:v>46217</x:v>
      </x:c>
      <x:c r="K96" s="27" t="str">
        <x:f>IF('Read Me'!$E$13="","",IF(OR($B96="National",$B96="Online nationwide",ISNUMBER(SEARCH(","&amp;'Read Me'!$E$13&amp;",",","&amp;$F96&amp;","))),"MATCH",""))</x:f>
      </x:c>
    </x:row>
    <x:row r="97">
      <x:c r="A97" s="27" t="str">
        <x:v>Royal Food Service</x:v>
      </x:c>
      <x:c r="B97" s="27" t="str">
        <x:v>Regional</x:v>
      </x:c>
      <x:c r="C97" s="27" t="str">
        <x:v>Southeast</x:v>
      </x:c>
      <x:c r="D97" s="27" t="str">
        <x:v>Georgia, Alabama, Tennessee, South Carolina, North Carolina</x:v>
      </x:c>
      <x:c r="E97" s="27" t="str">
        <x:v>Atlanta-centered produce and specialty distribution.</x:v>
      </x:c>
      <x:c r="F97" s="27" t="str">
        <x:v>GA,AL,TN,SC,NC</x:v>
      </x:c>
      <x:c r="G97" s="27" t="str">
        <x:v>https://www.royalfoodservice.com</x:v>
      </x:c>
      <x:c r="H97" s="27" t="str">
        <x:v>Low</x:v>
      </x:c>
      <x:c r="I97" s="27" t="str"/>
      <x:c r="J97" s="54" t="n">
        <x:v>46217</x:v>
      </x:c>
      <x:c r="K97" s="27" t="str">
        <x:f>IF('Read Me'!$E$13="","",IF(OR($B97="National",$B97="Online nationwide",ISNUMBER(SEARCH(","&amp;'Read Me'!$E$13&amp;",",","&amp;$F97&amp;","))),"MATCH",""))</x:f>
      </x:c>
    </x:row>
    <x:row r="98">
      <x:c r="A98" s="27" t="str">
        <x:v>RRS Foodservice</x:v>
      </x:c>
      <x:c r="B98" s="27" t="str">
        <x:v>Regional</x:v>
      </x:c>
      <x:c r="C98" s="27" t="str">
        <x:v>Mid-Atlantic / Carolinas</x:v>
      </x:c>
      <x:c r="D98" s="27" t="str">
        <x:v>Virginia, North Carolina, South Carolina, West Virginia, Maryland</x:v>
      </x:c>
      <x:c r="E98" s="27" t="str">
        <x:v>Virginia-centered regional foodservice distribution.</x:v>
      </x:c>
      <x:c r="F98" s="27" t="str">
        <x:v>VA,NC,SC,WV,MD</x:v>
      </x:c>
      <x:c r="G98" s="27" t="str">
        <x:v>https://www.rrsfoodservice.com</x:v>
      </x:c>
      <x:c r="H98" s="27" t="str">
        <x:v>Low</x:v>
      </x:c>
      <x:c r="I98" s="27" t="str"/>
      <x:c r="J98" s="54" t="n">
        <x:v>46217</x:v>
      </x:c>
      <x:c r="K98" s="27" t="str">
        <x:f>IF('Read Me'!$E$13="","",IF(OR($B98="National",$B98="Online nationwide",ISNUMBER(SEARCH(","&amp;'Read Me'!$E$13&amp;",",","&amp;$F98&amp;","))),"MATCH",""))</x:f>
      </x:c>
    </x:row>
    <x:row r="99">
      <x:c r="A99" s="27" t="str">
        <x:v>S &amp; W Wholesale Foods, LLC</x:v>
      </x:c>
      <x:c r="B99" s="27" t="str">
        <x:v>Regional</x:v>
      </x:c>
      <x:c r="C99" s="27" t="str">
        <x:v>Gulf South</x:v>
      </x:c>
      <x:c r="D99" s="27" t="str">
        <x:v>Louisiana, Mississippi, Alabama, Florida</x:v>
      </x:c>
      <x:c r="E99" s="27" t="str">
        <x:v>Louisiana-centered Gulf South distribution.</x:v>
      </x:c>
      <x:c r="F99" s="27" t="str">
        <x:v>LA,MS,AL,FL</x:v>
      </x:c>
      <x:c r="G99" s="27" t="str">
        <x:v>https://www.s-wfoods.com</x:v>
      </x:c>
      <x:c r="H99" s="27" t="str">
        <x:v>Low</x:v>
      </x:c>
      <x:c r="I99" s="27" t="str"/>
      <x:c r="J99" s="54" t="n">
        <x:v>46217</x:v>
      </x:c>
      <x:c r="K99" s="27" t="str">
        <x:f>IF('Read Me'!$E$13="","",IF(OR($B99="National",$B99="Online nationwide",ISNUMBER(SEARCH(","&amp;'Read Me'!$E$13&amp;",",","&amp;$F99&amp;","))),"MATCH",""))</x:f>
        <x:v>MATCH</x:v>
      </x:c>
    </x:row>
    <x:row r="100">
      <x:c r="A100" s="27" t="str">
        <x:v>S. Abraham &amp; Sons, Inc.</x:v>
      </x:c>
      <x:c r="B100" s="27" t="str">
        <x:v>Multi-regional</x:v>
      </x:c>
      <x:c r="C100" s="27" t="str">
        <x:v>Great Lakes / Midwest</x:v>
      </x:c>
      <x:c r="D100" s="27" t="str">
        <x:v>Michigan, Indiana, Ohio, Illinois, Wisconsin, Kentucky</x:v>
      </x:c>
      <x:c r="E100" s="27" t="str">
        <x:v>Michigan-centered convenience and foodservice distribution.</x:v>
      </x:c>
      <x:c r="F100" s="27" t="str">
        <x:v>MI,IN,OH,IL,WI,KY</x:v>
      </x:c>
      <x:c r="G100" s="27" t="str">
        <x:v>https://www.sasinc.com</x:v>
      </x:c>
      <x:c r="H100" s="27" t="str">
        <x:v>Medium</x:v>
      </x:c>
      <x:c r="I100" s="27" t="str"/>
      <x:c r="J100" s="54" t="n">
        <x:v>46217</x:v>
      </x:c>
      <x:c r="K100" s="27" t="str">
        <x:f>IF('Read Me'!$E$13="","",IF(OR($B100="National",$B100="Online nationwide",ISNUMBER(SEARCH(","&amp;'Read Me'!$E$13&amp;",",","&amp;$F100&amp;","))),"MATCH",""))</x:f>
      </x:c>
    </x:row>
    <x:row r="101">
      <x:c r="A101" s="27" t="str">
        <x:v>Sanwa Food Group</x:v>
      </x:c>
      <x:c r="B101" s="27" t="str">
        <x:v>Regional</x:v>
      </x:c>
      <x:c r="C101" s="27" t="str">
        <x:v>Florida</x:v>
      </x:c>
      <x:c r="D101" s="27" t="str">
        <x:v>Florida</x:v>
      </x:c>
      <x:c r="E101" s="27" t="str">
        <x:v>Florida produce and foodservice distribution.</x:v>
      </x:c>
      <x:c r="F101" s="27" t="str">
        <x:v>FL</x:v>
      </x:c>
      <x:c r="G101" s="27" t="str">
        <x:v>https://sanwagrowers.com</x:v>
      </x:c>
      <x:c r="H101" s="27" t="str">
        <x:v>High</x:v>
      </x:c>
      <x:c r="I101" s="27" t="str"/>
      <x:c r="J101" s="54" t="n">
        <x:v>46217</x:v>
      </x:c>
      <x:c r="K101" s="27" t="str">
        <x:f>IF('Read Me'!$E$13="","",IF(OR($B101="National",$B101="Online nationwide",ISNUMBER(SEARCH(","&amp;'Read Me'!$E$13&amp;",",","&amp;$F101&amp;","))),"MATCH",""))</x:f>
        <x:v>MATCH</x:v>
      </x:c>
    </x:row>
    <x:row r="102">
      <x:c r="A102" s="27" t="str">
        <x:v>Saval Foodservice</x:v>
      </x:c>
      <x:c r="B102" s="27" t="str">
        <x:v>Regional</x:v>
      </x:c>
      <x:c r="C102" s="27" t="str">
        <x:v>Mid-Atlantic</x:v>
      </x:c>
      <x:c r="D102" s="27" t="str">
        <x:v>Maryland, Virginia, District of Columbia, Delaware, Pennsylvania</x:v>
      </x:c>
      <x:c r="E102" s="27" t="str">
        <x:v>Philadelphia-area through Roanoke, including Maryland, Virginia, D.C. and Delaware.</x:v>
      </x:c>
      <x:c r="F102" s="27" t="str">
        <x:v>MD,VA,DC,DE,PA</x:v>
      </x:c>
      <x:c r="G102" s="27" t="str">
        <x:v>https://www.savalfoods.com</x:v>
      </x:c>
      <x:c r="H102" s="27" t="str">
        <x:v>High</x:v>
      </x:c>
      <x:c r="I102" s="27" t="str">
        <x:v>Pennsylvania service is market-specific rather than necessarily statewide.</x:v>
      </x:c>
      <x:c r="J102" s="54" t="n">
        <x:v>46217</x:v>
      </x:c>
      <x:c r="K102" s="27" t="str">
        <x:f>IF('Read Me'!$E$13="","",IF(OR($B102="National",$B102="Online nationwide",ISNUMBER(SEARCH(","&amp;'Read Me'!$E$13&amp;",",","&amp;$F102&amp;","))),"MATCH",""))</x:f>
      </x:c>
    </x:row>
    <x:row r="103">
      <x:c r="A103" s="27" t="str">
        <x:v>Scarmardo Foodservice Inc.</x:v>
      </x:c>
      <x:c r="B103" s="27" t="str">
        <x:v>Regional</x:v>
      </x:c>
      <x:c r="C103" s="27" t="str">
        <x:v>Texas / South Central</x:v>
      </x:c>
      <x:c r="D103" s="27" t="str">
        <x:v>Texas</x:v>
      </x:c>
      <x:c r="E103" s="27" t="str">
        <x:v>Texas-centered broadline distribution.</x:v>
      </x:c>
      <x:c r="F103" s="27" t="str">
        <x:v>TX</x:v>
      </x:c>
      <x:c r="G103" s="27" t="str">
        <x:v>https://www.scarmardofoods.com</x:v>
      </x:c>
      <x:c r="H103" s="27" t="str">
        <x:v>High</x:v>
      </x:c>
      <x:c r="I103" s="27" t="str"/>
      <x:c r="J103" s="54" t="n">
        <x:v>46217</x:v>
      </x:c>
      <x:c r="K103" s="27" t="str">
        <x:f>IF('Read Me'!$E$13="","",IF(OR($B103="National",$B103="Online nationwide",ISNUMBER(SEARCH(","&amp;'Read Me'!$E$13&amp;",",","&amp;$F103&amp;","))),"MATCH",""))</x:f>
      </x:c>
    </x:row>
    <x:row r="104">
      <x:c r="A104" s="27" t="str">
        <x:v>Schenck Foods Company</x:v>
      </x:c>
      <x:c r="B104" s="27" t="str">
        <x:v>Regional</x:v>
      </x:c>
      <x:c r="C104" s="27" t="str">
        <x:v>Mid-Atlantic / Appalachia</x:v>
      </x:c>
      <x:c r="D104" s="27" t="str">
        <x:v>Virginia, West Virginia, Maryland, Pennsylvania</x:v>
      </x:c>
      <x:c r="E104" s="27" t="str">
        <x:v>Winchester, Virginia-centered regional distribution.</x:v>
      </x:c>
      <x:c r="F104" s="27" t="str">
        <x:v>VA,WV,MD,PA</x:v>
      </x:c>
      <x:c r="G104" s="27" t="str">
        <x:v>https://schenckfoods.com</x:v>
      </x:c>
      <x:c r="H104" s="27" t="str">
        <x:v>Low</x:v>
      </x:c>
      <x:c r="I104" s="27" t="str"/>
      <x:c r="J104" s="54" t="n">
        <x:v>46217</x:v>
      </x:c>
      <x:c r="K104" s="27" t="str">
        <x:f>IF('Read Me'!$E$13="","",IF(OR($B104="National",$B104="Online nationwide",ISNUMBER(SEARCH(","&amp;'Read Me'!$E$13&amp;",",","&amp;$F104&amp;","))),"MATCH",""))</x:f>
      </x:c>
    </x:row>
    <x:row r="105">
      <x:c r="A105" s="27" t="str">
        <x:v>Schiff's Food Service, Inc.</x:v>
      </x:c>
      <x:c r="B105" s="27" t="str">
        <x:v>Regional</x:v>
      </x:c>
      <x:c r="C105" s="27" t="str">
        <x:v>Northeast</x:v>
      </x:c>
      <x:c r="D105" s="27" t="str">
        <x:v>Pennsylvania, New Jersey, New York</x:v>
      </x:c>
      <x:c r="E105" s="27" t="str">
        <x:v>Pennsylvania-centered Northeast distribution.</x:v>
      </x:c>
      <x:c r="F105" s="27" t="str">
        <x:v>PA,NJ,NY</x:v>
      </x:c>
      <x:c r="G105" s="27" t="str">
        <x:v>https://www.schiffs.com</x:v>
      </x:c>
      <x:c r="H105" s="27" t="str">
        <x:v>Low</x:v>
      </x:c>
      <x:c r="I105" s="27" t="str"/>
      <x:c r="J105" s="54" t="n">
        <x:v>46217</x:v>
      </x:c>
      <x:c r="K105" s="27" t="str">
        <x:f>IF('Read Me'!$E$13="","",IF(OR($B105="National",$B105="Online nationwide",ISNUMBER(SEARCH(","&amp;'Read Me'!$E$13&amp;",",","&amp;$F105&amp;","))),"MATCH",""))</x:f>
      </x:c>
    </x:row>
    <x:row r="106">
      <x:c r="A106" s="27" t="str">
        <x:v>Scooter's Coffee / Harvest Roasting</x:v>
      </x:c>
      <x:c r="B106" s="27" t="str">
        <x:v>Closed system</x:v>
      </x:c>
      <x:c r="C106" s="27" t="str">
        <x:v>Scooter's Coffee footprint</x:v>
      </x:c>
      <x:c r="D106" s="27" t="str"/>
      <x:c r="E106" s="27" t="str">
        <x:v>Coffee-chain supply operation; not a general independent-restaurant purveyor.</x:v>
      </x:c>
      <x:c r="F106" s="27" t="str"/>
      <x:c r="G106" s="27" t="str">
        <x:v>https://www.harvestroasting.com</x:v>
      </x:c>
      <x:c r="H106" s="27" t="str">
        <x:v>High</x:v>
      </x:c>
      <x:c r="I106" s="27" t="str"/>
      <x:c r="J106" s="54" t="n">
        <x:v>46217</x:v>
      </x:c>
      <x:c r="K106" s="27" t="str">
        <x:f>IF('Read Me'!$E$13="","",IF(OR($B106="National",$B106="Online nationwide",ISNUMBER(SEARCH(","&amp;'Read Me'!$E$13&amp;",",","&amp;$F106&amp;","))),"MATCH",""))</x:f>
      </x:c>
    </x:row>
    <x:row r="107">
      <x:c r="A107" s="27" t="str">
        <x:v>SGC Foodservice</x:v>
      </x:c>
      <x:c r="B107" s="27" t="str">
        <x:v>Regional</x:v>
      </x:c>
      <x:c r="C107" s="27" t="str">
        <x:v>Central Midwest / Mid-South</x:v>
      </x:c>
      <x:c r="D107" s="27" t="str">
        <x:v>Illinois, Missouri, Kansas, Oklahoma, Arkansas, Tennessee</x:v>
      </x:c>
      <x:c r="E107" s="27" t="str">
        <x:v>Centered in Springfield, Missouri; public description spans Decatur to Oklahoma City and Memphis to Wichita.</x:v>
      </x:c>
      <x:c r="F107" s="27" t="str">
        <x:v>IL,MO,KS,OK,AR,TN</x:v>
      </x:c>
      <x:c r="G107" s="27" t="str">
        <x:v>https://www.sgcfoodservice.com/about/</x:v>
      </x:c>
      <x:c r="H107" s="27" t="str">
        <x:v>High</x:v>
      </x:c>
      <x:c r="I107" s="27" t="str">
        <x:v>State codes approximate the named market corridor; confirm ZIP.</x:v>
      </x:c>
      <x:c r="J107" s="54" t="n">
        <x:v>46217</x:v>
      </x:c>
      <x:c r="K107" s="27" t="str">
        <x:f>IF('Read Me'!$E$13="","",IF(OR($B107="National",$B107="Online nationwide",ISNUMBER(SEARCH(","&amp;'Read Me'!$E$13&amp;",",","&amp;$F107&amp;","))),"MATCH",""))</x:f>
      </x:c>
    </x:row>
    <x:row r="108">
      <x:c r="A108" s="27" t="str">
        <x:v>Shamrock Foods Company</x:v>
      </x:c>
      <x:c r="B108" s="27" t="str">
        <x:v>Multi-regional</x:v>
      </x:c>
      <x:c r="C108" s="27" t="str">
        <x:v>Western United States</x:v>
      </x:c>
      <x:c r="D108" s="27" t="str">
        <x:v>Arizona, California, Colorado, Idaho, Kansas, Montana, Nebraska, Nevada, New Mexico, Oregon, South Dakota, Texas, Utah, Wyoming</x:v>
      </x:c>
      <x:c r="E108" s="27" t="str">
        <x:v>Published western footprint with distribution and sales operations across these states.</x:v>
      </x:c>
      <x:c r="F108" s="27" t="str">
        <x:v>AZ,CA,CO,ID,KS,MT,NE,NV,NM,OR,SD,TX,UT,WY</x:v>
      </x:c>
      <x:c r="G108" s="27" t="str">
        <x:v>https://www.shamrockfoodservice.com/locations/</x:v>
      </x:c>
      <x:c r="H108" s="27" t="str">
        <x:v>High</x:v>
      </x:c>
      <x:c r="I108" s="27" t="str">
        <x:v>Several states are only partially served; use ZIP-level confirmation.</x:v>
      </x:c>
      <x:c r="J108" s="54" t="n">
        <x:v>46217</x:v>
      </x:c>
      <x:c r="K108" s="27" t="str">
        <x:f>IF('Read Me'!$E$13="","",IF(OR($B108="National",$B108="Online nationwide",ISNUMBER(SEARCH(","&amp;'Read Me'!$E$13&amp;",",","&amp;$F108&amp;","))),"MATCH",""))</x:f>
      </x:c>
    </x:row>
    <x:row r="109">
      <x:c r="A109" s="27" t="str">
        <x:v>Sofo Foods</x:v>
      </x:c>
      <x:c r="B109" s="27" t="str">
        <x:v>Multi-regional</x:v>
      </x:c>
      <x:c r="C109" s="27" t="str">
        <x:v>Midwest / Southeast / Texas</x:v>
      </x:c>
      <x:c r="D109" s="27" t="str">
        <x:v>Ohio, Georgia, Texas</x:v>
      </x:c>
      <x:c r="E109" s="27" t="str">
        <x:v>Facilities are published in Ohio, Georgia and Texas; broader sales territory is shown by the company map.</x:v>
      </x:c>
      <x:c r="F109" s="27" t="str">
        <x:v>OH,GA,TX</x:v>
      </x:c>
      <x:c r="G109" s="27" t="str">
        <x:v>https://www.sofofoods.com/contact</x:v>
      </x:c>
      <x:c r="H109" s="27" t="str">
        <x:v>Medium</x:v>
      </x:c>
      <x:c r="I109" s="27" t="str">
        <x:v>Only facility states are auto-matched until the service-area map is converted to a verified state list.</x:v>
      </x:c>
      <x:c r="J109" s="54" t="n">
        <x:v>46217</x:v>
      </x:c>
      <x:c r="K109" s="27" t="str">
        <x:f>IF('Read Me'!$E$13="","",IF(OR($B109="National",$B109="Online nationwide",ISNUMBER(SEARCH(","&amp;'Read Me'!$E$13&amp;",",","&amp;$F109&amp;","))),"MATCH",""))</x:f>
      </x:c>
    </x:row>
    <x:row r="110">
      <x:c r="A110" s="27" t="str">
        <x:v>Southeastern Food Merchandisers</x:v>
      </x:c>
      <x:c r="B110" s="27" t="str">
        <x:v>Regional</x:v>
      </x:c>
      <x:c r="C110" s="27" t="str">
        <x:v>Southeast</x:v>
      </x:c>
      <x:c r="D110" s="27" t="str">
        <x:v>Alabama, Georgia, Florida, Mississippi, Tennessee</x:v>
      </x:c>
      <x:c r="E110" s="27" t="str">
        <x:v>Southeastern regional food distribution.</x:v>
      </x:c>
      <x:c r="F110" s="27" t="str">
        <x:v>AL,GA,FL,MS,TN</x:v>
      </x:c>
      <x:c r="G110" s="27" t="str">
        <x:v>https://www.southeasternfood.com</x:v>
      </x:c>
      <x:c r="H110" s="27" t="str">
        <x:v>Low</x:v>
      </x:c>
      <x:c r="I110" s="27" t="str"/>
      <x:c r="J110" s="54" t="n">
        <x:v>46217</x:v>
      </x:c>
      <x:c r="K110" s="27" t="str">
        <x:f>IF('Read Me'!$E$13="","",IF(OR($B110="National",$B110="Online nationwide",ISNUMBER(SEARCH(","&amp;'Read Me'!$E$13&amp;",",","&amp;$F110&amp;","))),"MATCH",""))</x:f>
        <x:v>MATCH</x:v>
      </x:c>
    </x:row>
    <x:row r="111">
      <x:c r="A111" s="27" t="str">
        <x:v>Southwest Traders, Inc.</x:v>
      </x:c>
      <x:c r="B111" s="27" t="str">
        <x:v>Regional</x:v>
      </x:c>
      <x:c r="C111" s="27" t="str">
        <x:v>Southwest / West Coast</x:v>
      </x:c>
      <x:c r="D111" s="27" t="str">
        <x:v>California, Arizona, Nevada</x:v>
      </x:c>
      <x:c r="E111" s="27" t="str">
        <x:v>Southern California-centered specialty and broadline distribution.</x:v>
      </x:c>
      <x:c r="F111" s="27" t="str">
        <x:v>CA,AZ,NV</x:v>
      </x:c>
      <x:c r="G111" s="27" t="str">
        <x:v>https://www.southwesttraders.com</x:v>
      </x:c>
      <x:c r="H111" s="27" t="str">
        <x:v>Low</x:v>
      </x:c>
      <x:c r="I111" s="27" t="str"/>
      <x:c r="J111" s="54" t="n">
        <x:v>46217</x:v>
      </x:c>
      <x:c r="K111" s="27" t="str">
        <x:f>IF('Read Me'!$E$13="","",IF(OR($B111="National",$B111="Online nationwide",ISNUMBER(SEARCH(","&amp;'Read Me'!$E$13&amp;",",","&amp;$F111&amp;","))),"MATCH",""))</x:f>
      </x:c>
    </x:row>
    <x:row r="112">
      <x:c r="A112" s="27" t="str">
        <x:v>Suisan Company, Limited</x:v>
      </x:c>
      <x:c r="B112" s="27" t="str">
        <x:v>Territory-wide</x:v>
      </x:c>
      <x:c r="C112" s="27" t="str">
        <x:v>Hawaii</x:v>
      </x:c>
      <x:c r="D112" s="27" t="str">
        <x:v>Hawaii</x:v>
      </x:c>
      <x:c r="E112" s="27" t="str">
        <x:v>Hawaii foodservice distribution.</x:v>
      </x:c>
      <x:c r="F112" s="27" t="str">
        <x:v>HI</x:v>
      </x:c>
      <x:c r="G112" s="27" t="str">
        <x:v>https://www.suisan.com</x:v>
      </x:c>
      <x:c r="H112" s="27" t="str">
        <x:v>High</x:v>
      </x:c>
      <x:c r="I112" s="27" t="str"/>
      <x:c r="J112" s="54" t="n">
        <x:v>46217</x:v>
      </x:c>
      <x:c r="K112" s="27" t="str">
        <x:f>IF('Read Me'!$E$13="","",IF(OR($B112="National",$B112="Online nationwide",ISNUMBER(SEARCH(","&amp;'Read Me'!$E$13&amp;",",","&amp;$F112&amp;","))),"MATCH",""))</x:f>
      </x:c>
    </x:row>
    <x:row r="113">
      <x:c r="A113" s="27" t="str">
        <x:v>Sutherland's Foodservice, Inc.</x:v>
      </x:c>
      <x:c r="B113" s="27" t="str">
        <x:v>Regional</x:v>
      </x:c>
      <x:c r="C113" s="27" t="str">
        <x:v>Southeast</x:v>
      </x:c>
      <x:c r="D113" s="27" t="str">
        <x:v>Georgia, Tennessee, Alabama, South Carolina, North Carolina</x:v>
      </x:c>
      <x:c r="E113" s="27" t="str">
        <x:v>Georgia-centered foodservice distribution.</x:v>
      </x:c>
      <x:c r="F113" s="27" t="str">
        <x:v>GA,TN,AL,SC,NC</x:v>
      </x:c>
      <x:c r="G113" s="27" t="str">
        <x:v>https://www.suthfoodservice.com</x:v>
      </x:c>
      <x:c r="H113" s="27" t="str">
        <x:v>Low</x:v>
      </x:c>
      <x:c r="I113" s="27" t="str"/>
      <x:c r="J113" s="54" t="n">
        <x:v>46217</x:v>
      </x:c>
      <x:c r="K113" s="27" t="str">
        <x:f>IF('Read Me'!$E$13="","",IF(OR($B113="National",$B113="Online nationwide",ISNUMBER(SEARCH(","&amp;'Read Me'!$E$13&amp;",",","&amp;$F113&amp;","))),"MATCH",""))</x:f>
      </x:c>
    </x:row>
    <x:row r="114">
      <x:c r="A114" s="27" t="str">
        <x:v>Sysco Corporation</x:v>
      </x:c>
      <x:c r="B114" s="27" t="str">
        <x:v>National</x:v>
      </x:c>
      <x:c r="C114" s="27" t="str">
        <x:v>Nationwide</x:v>
      </x:c>
      <x:c r="D114" s="27" t="str"/>
      <x:c r="E114" s="27" t="str">
        <x:v>National broadline network with hundreds of facilities; local operating-company availability is ZIP-specific.</x:v>
      </x:c>
      <x:c r="F114" s="27" t="str"/>
      <x:c r="G114" s="27" t="str">
        <x:v>https://www.sysco.com/Contact/Contact/Our-Locations</x:v>
      </x:c>
      <x:c r="H114" s="27" t="str">
        <x:v>High</x:v>
      </x:c>
      <x:c r="I114" s="27" t="str"/>
      <x:c r="J114" s="54" t="n">
        <x:v>46217</x:v>
      </x:c>
      <x:c r="K114" s="27" t="str">
        <x:f>IF('Read Me'!$E$13="","",IF(OR($B114="National",$B114="Online nationwide",ISNUMBER(SEARCH(","&amp;'Read Me'!$E$13&amp;",",","&amp;$F114&amp;","))),"MATCH",""))</x:f>
        <x:v>MATCH</x:v>
      </x:c>
    </x:row>
    <x:row r="115">
      <x:c r="A115" s="27" t="str">
        <x:v>Tankersley Foodservice LLC</x:v>
      </x:c>
      <x:c r="B115" s="27" t="str">
        <x:v>Regional</x:v>
      </x:c>
      <x:c r="C115" s="27" t="str">
        <x:v>Arkansas / Southern Plains</x:v>
      </x:c>
      <x:c r="D115" s="27" t="str">
        <x:v>Arkansas, Oklahoma, Texas, Missouri</x:v>
      </x:c>
      <x:c r="E115" s="27" t="str">
        <x:v>Fort Smith-centered regional distribution.</x:v>
      </x:c>
      <x:c r="F115" s="27" t="str">
        <x:v>AR,OK,TX,MO</x:v>
      </x:c>
      <x:c r="G115" s="27" t="str">
        <x:v>https://www.tankersleyfoods.com</x:v>
      </x:c>
      <x:c r="H115" s="27" t="str">
        <x:v>Low</x:v>
      </x:c>
      <x:c r="I115" s="27" t="str"/>
      <x:c r="J115" s="54" t="n">
        <x:v>46217</x:v>
      </x:c>
      <x:c r="K115" s="27" t="str">
        <x:f>IF('Read Me'!$E$13="","",IF(OR($B115="National",$B115="Online nationwide",ISNUMBER(SEARCH(","&amp;'Read Me'!$E$13&amp;",",","&amp;$F115&amp;","))),"MATCH",""))</x:f>
      </x:c>
    </x:row>
    <x:row r="116">
      <x:c r="A116" s="27" t="str">
        <x:v>Team Sledd</x:v>
      </x:c>
      <x:c r="B116" s="27" t="str">
        <x:v>Regional</x:v>
      </x:c>
      <x:c r="C116" s="27" t="str">
        <x:v>Appalachia / Ohio Valley</x:v>
      </x:c>
      <x:c r="D116" s="27" t="str">
        <x:v>West Virginia, Virginia, Ohio, Kentucky, Pennsylvania</x:v>
      </x:c>
      <x:c r="E116" s="27" t="str">
        <x:v>West Virginia-centered convenience and foodservice distribution.</x:v>
      </x:c>
      <x:c r="F116" s="27" t="str">
        <x:v>WV,VA,OH,KY,PA</x:v>
      </x:c>
      <x:c r="G116" s="27" t="str">
        <x:v>https://www.sleddco.com</x:v>
      </x:c>
      <x:c r="H116" s="27" t="str">
        <x:v>Low</x:v>
      </x:c>
      <x:c r="I116" s="27" t="str"/>
      <x:c r="J116" s="54" t="n">
        <x:v>46217</x:v>
      </x:c>
      <x:c r="K116" s="27" t="str">
        <x:f>IF('Read Me'!$E$13="","",IF(OR($B116="National",$B116="Online nationwide",ISNUMBER(SEARCH(","&amp;'Read Me'!$E$13&amp;",",","&amp;$F116&amp;","))),"MATCH",""))</x:f>
      </x:c>
    </x:row>
    <x:row r="117">
      <x:c r="A117" s="27" t="str">
        <x:v>Thurston Foods, Inc.</x:v>
      </x:c>
      <x:c r="B117" s="27" t="str">
        <x:v>Regional</x:v>
      </x:c>
      <x:c r="C117" s="27" t="str">
        <x:v>New England / New York Metro</x:v>
      </x:c>
      <x:c r="D117" s="27" t="str">
        <x:v>Connecticut, Massachusetts, New York, Rhode Island</x:v>
      </x:c>
      <x:c r="E117" s="27" t="str">
        <x:v>Connecticut-centered regional foodservice distribution.</x:v>
      </x:c>
      <x:c r="F117" s="27" t="str">
        <x:v>CT,MA,NY,RI</x:v>
      </x:c>
      <x:c r="G117" s="27" t="str">
        <x:v>https://www.thurstonfoods.com</x:v>
      </x:c>
      <x:c r="H117" s="27" t="str">
        <x:v>Low</x:v>
      </x:c>
      <x:c r="I117" s="27" t="str"/>
      <x:c r="J117" s="54" t="n">
        <x:v>46217</x:v>
      </x:c>
      <x:c r="K117" s="27" t="str">
        <x:f>IF('Read Me'!$E$13="","",IF(OR($B117="National",$B117="Online nationwide",ISNUMBER(SEARCH(","&amp;'Read Me'!$E$13&amp;",",","&amp;$F117&amp;","))),"MATCH",""))</x:f>
      </x:c>
    </x:row>
    <x:row r="118">
      <x:c r="A118" s="27" t="str">
        <x:v>UniPro Foodservice, Inc.</x:v>
      </x:c>
      <x:c r="B118" s="27" t="str">
        <x:v>Distributor network</x:v>
      </x:c>
      <x:c r="C118" s="27" t="str">
        <x:v>National network</x:v>
      </x:c>
      <x:c r="D118" s="27" t="str"/>
      <x:c r="E118" s="27" t="str">
        <x:v>National independent-distributor cooperative with hundreds of member headquarters and more than one thousand locations.</x:v>
      </x:c>
      <x:c r="F118" s="27" t="str"/>
      <x:c r="G118" s="27" t="str">
        <x:v>https://www.uniprofoodservice.com/distributors/directory</x:v>
      </x:c>
      <x:c r="H118" s="27" t="str">
        <x:v>High</x:v>
      </x:c>
      <x:c r="I118" s="27" t="str"/>
      <x:c r="J118" s="54" t="n">
        <x:v>46217</x:v>
      </x:c>
      <x:c r="K118" s="27" t="str">
        <x:f>IF('Read Me'!$E$13="","",IF(OR($B118="National",$B118="Online nationwide",ISNUMBER(SEARCH(","&amp;'Read Me'!$E$13&amp;",",","&amp;$F118&amp;","))),"MATCH",""))</x:f>
      </x:c>
    </x:row>
    <x:row r="119">
      <x:c r="A119" s="27" t="str">
        <x:v>Upper Lakes Foods Inc.</x:v>
      </x:c>
      <x:c r="B119" s="27" t="str">
        <x:v>Multi-regional</x:v>
      </x:c>
      <x:c r="C119" s="27" t="str">
        <x:v>Upper Midwest / Northern Plains</x:v>
      </x:c>
      <x:c r="D119" s="27" t="str">
        <x:v>Minnesota, Wisconsin, North Dakota, South Dakota, Iowa, Illinois, Michigan</x:v>
      </x:c>
      <x:c r="E119" s="27" t="str">
        <x:v>Published service across Minnesota, Wisconsin, North Dakota, South Dakota, Iowa, Illinois and Michigan's Upper Peninsula.</x:v>
      </x:c>
      <x:c r="F119" s="27" t="str">
        <x:v>MN,WI,ND,SD,IA,IL,MI</x:v>
      </x:c>
      <x:c r="G119" s="27" t="str">
        <x:v>https://upperlakesfoods.com/about/facilities-territory/</x:v>
      </x:c>
      <x:c r="H119" s="27" t="str">
        <x:v>High</x:v>
      </x:c>
      <x:c r="I119" s="27" t="str">
        <x:v>Michigan coverage is limited to the Upper Peninsula.</x:v>
      </x:c>
      <x:c r="J119" s="54" t="n">
        <x:v>46217</x:v>
      </x:c>
      <x:c r="K119" s="27" t="str">
        <x:f>IF('Read Me'!$E$13="","",IF(OR($B119="National",$B119="Online nationwide",ISNUMBER(SEARCH(","&amp;'Read Me'!$E$13&amp;",",","&amp;$F119&amp;","))),"MATCH",""))</x:f>
      </x:c>
    </x:row>
    <x:row r="120">
      <x:c r="A120" s="27" t="str">
        <x:v>US Foods</x:v>
      </x:c>
      <x:c r="B120" s="27" t="str">
        <x:v>National</x:v>
      </x:c>
      <x:c r="C120" s="27" t="str">
        <x:v>Nationwide</x:v>
      </x:c>
      <x:c r="D120" s="27" t="str"/>
      <x:c r="E120" s="27" t="str">
        <x:v>National broadline distributor with local distribution-center and route availability.</x:v>
      </x:c>
      <x:c r="F120" s="27" t="str"/>
      <x:c r="G120" s="27" t="str">
        <x:v>https://www.usfoods.com/about-us-foods/locations.html</x:v>
      </x:c>
      <x:c r="H120" s="27" t="str">
        <x:v>High</x:v>
      </x:c>
      <x:c r="I120" s="27" t="str"/>
      <x:c r="J120" s="54" t="n">
        <x:v>46217</x:v>
      </x:c>
      <x:c r="K120" s="27" t="str">
        <x:f>IF('Read Me'!$E$13="","",IF(OR($B120="National",$B120="Online nationwide",ISNUMBER(SEARCH(","&amp;'Read Me'!$E$13&amp;",",","&amp;$F120&amp;","))),"MATCH",""))</x:f>
        <x:v>MATCH</x:v>
      </x:c>
    </x:row>
    <x:row r="121">
      <x:c r="A121" s="27" t="str">
        <x:v>Van Eerden Foodservice</x:v>
      </x:c>
      <x:c r="B121" s="27" t="str">
        <x:v>Regional</x:v>
      </x:c>
      <x:c r="C121" s="27" t="str">
        <x:v>Great Lakes / Midwest</x:v>
      </x:c>
      <x:c r="D121" s="27" t="str">
        <x:v>Michigan, Indiana</x:v>
      </x:c>
      <x:c r="E121" s="27" t="str">
        <x:v>Michigan-centered distribution with a Fort Wayne, Indiana facility opened in 2025.</x:v>
      </x:c>
      <x:c r="F121" s="27" t="str">
        <x:v>MI,IN</x:v>
      </x:c>
      <x:c r="G121" s="27" t="str">
        <x:v>https://www.vaneerden.com/our-story/</x:v>
      </x:c>
      <x:c r="H121" s="27" t="str">
        <x:v>High</x:v>
      </x:c>
      <x:c r="I121" s="27" t="str">
        <x:v>The broader Midwest territory is not auto-matched beyond confirmed facility states.</x:v>
      </x:c>
      <x:c r="J121" s="54" t="n">
        <x:v>46217</x:v>
      </x:c>
      <x:c r="K121" s="27" t="str">
        <x:f>IF('Read Me'!$E$13="","",IF(OR($B121="National",$B121="Online nationwide",ISNUMBER(SEARCH(","&amp;'Read Me'!$E$13&amp;",",","&amp;$F121&amp;","))),"MATCH",""))</x:f>
      </x:c>
    </x:row>
    <x:row r="122">
      <x:c r="A122" s="27" t="str">
        <x:v>VIP Foodservice</x:v>
      </x:c>
      <x:c r="B122" s="27" t="str">
        <x:v>Regional</x:v>
      </x:c>
      <x:c r="C122" s="27" t="str">
        <x:v>Southern California / Southwest</x:v>
      </x:c>
      <x:c r="D122" s="27" t="str">
        <x:v>California, Nevada, Arizona</x:v>
      </x:c>
      <x:c r="E122" s="27" t="str">
        <x:v>Southern California-centered foodservice distribution.</x:v>
      </x:c>
      <x:c r="F122" s="27" t="str">
        <x:v>CA,NV,AZ</x:v>
      </x:c>
      <x:c r="G122" s="27" t="str">
        <x:v>https://www.vipfoodservice.com</x:v>
      </x:c>
      <x:c r="H122" s="27" t="str">
        <x:v>Low</x:v>
      </x:c>
      <x:c r="I122" s="27" t="str"/>
      <x:c r="J122" s="54" t="n">
        <x:v>46217</x:v>
      </x:c>
      <x:c r="K122" s="27" t="str">
        <x:f>IF('Read Me'!$E$13="","",IF(OR($B122="National",$B122="Online nationwide",ISNUMBER(SEARCH(","&amp;'Read Me'!$E$13&amp;",",","&amp;$F122&amp;","))),"MATCH",""))</x:f>
      </x:c>
    </x:row>
    <x:row r="123">
      <x:c r="A123" s="27" t="str">
        <x:v>Vitco Distributors, Inc.</x:v>
      </x:c>
      <x:c r="B123" s="27" t="str">
        <x:v>Regional</x:v>
      </x:c>
      <x:c r="C123" s="27" t="str">
        <x:v>Southern California / Southwest</x:v>
      </x:c>
      <x:c r="D123" s="27" t="str">
        <x:v>California, Nevada, Arizona</x:v>
      </x:c>
      <x:c r="E123" s="27" t="str">
        <x:v>Southern California-centered broadline distribution.</x:v>
      </x:c>
      <x:c r="F123" s="27" t="str">
        <x:v>CA,NV,AZ</x:v>
      </x:c>
      <x:c r="G123" s="27" t="str">
        <x:v>https://www.vitcofoods.com</x:v>
      </x:c>
      <x:c r="H123" s="27" t="str">
        <x:v>Low</x:v>
      </x:c>
      <x:c r="I123" s="27" t="str"/>
      <x:c r="J123" s="54" t="n">
        <x:v>46217</x:v>
      </x:c>
      <x:c r="K123" s="27" t="str">
        <x:f>IF('Read Me'!$E$13="","",IF(OR($B123="National",$B123="Online nationwide",ISNUMBER(SEARCH(","&amp;'Read Me'!$E$13&amp;",",","&amp;$F123&amp;","))),"MATCH",""))</x:f>
      </x:c>
    </x:row>
    <x:row r="124">
      <x:c r="A124" s="27" t="str">
        <x:v>Wabash Foodservice</x:v>
      </x:c>
      <x:c r="B124" s="27" t="str">
        <x:v>Regional</x:v>
      </x:c>
      <x:c r="C124" s="27" t="str">
        <x:v>Midwest / Ohio Valley</x:v>
      </x:c>
      <x:c r="D124" s="27" t="str">
        <x:v>Illinois, Indiana, Kentucky, Tennessee, Missouri</x:v>
      </x:c>
      <x:c r="E124" s="27" t="str">
        <x:v>Illinois-centered regional distribution.</x:v>
      </x:c>
      <x:c r="F124" s="27" t="str">
        <x:v>IL,IN,KY,TN,MO</x:v>
      </x:c>
      <x:c r="G124" s="27" t="str">
        <x:v>https://www.wabashfoodservice.com</x:v>
      </x:c>
      <x:c r="H124" s="27" t="str">
        <x:v>Low</x:v>
      </x:c>
      <x:c r="I124" s="27" t="str"/>
      <x:c r="J124" s="54" t="n">
        <x:v>46217</x:v>
      </x:c>
      <x:c r="K124" s="27" t="str">
        <x:f>IF('Read Me'!$E$13="","",IF(OR($B124="National",$B124="Online nationwide",ISNUMBER(SEARCH(","&amp;'Read Me'!$E$13&amp;",",","&amp;$F124&amp;","))),"MATCH",""))</x:f>
      </x:c>
    </x:row>
    <x:row r="125">
      <x:c r="A125" s="27" t="str">
        <x:v>Wood Fruitticher Food Service</x:v>
      </x:c>
      <x:c r="B125" s="27" t="str">
        <x:v>Regional</x:v>
      </x:c>
      <x:c r="C125" s="27" t="str">
        <x:v>Southeast</x:v>
      </x:c>
      <x:c r="D125" s="27" t="str">
        <x:v>Alabama, Georgia, Florida, Mississippi, Tennessee</x:v>
      </x:c>
      <x:c r="E125" s="27" t="str">
        <x:v>Official service area includes Alabama, Georgia, Florida, Mississippi and Tennessee.</x:v>
      </x:c>
      <x:c r="F125" s="27" t="str">
        <x:v>AL,GA,FL,MS,TN</x:v>
      </x:c>
      <x:c r="G125" s="27" t="str">
        <x:v>https://www.woodfruitticher.com/about/foodservice-distributor/</x:v>
      </x:c>
      <x:c r="H125" s="27" t="str">
        <x:v>High</x:v>
      </x:c>
      <x:c r="I125" s="27" t="str"/>
      <x:c r="J125" s="54" t="n">
        <x:v>46217</x:v>
      </x:c>
      <x:c r="K125" s="27" t="str">
        <x:f>IF('Read Me'!$E$13="","",IF(OR($B125="National",$B125="Online nationwide",ISNUMBER(SEARCH(","&amp;'Read Me'!$E$13&amp;",",","&amp;$F125&amp;","))),"MATCH",""))</x:f>
        <x:v>MATCH</x:v>
      </x:c>
    </x:row>
    <x:row r="126">
      <x:c r="A126" s="27" t="str">
        <x:v>Y. Hata &amp; Co., Ltd.</x:v>
      </x:c>
      <x:c r="B126" s="27" t="str">
        <x:v>Territory-wide</x:v>
      </x:c>
      <x:c r="C126" s="27" t="str">
        <x:v>Hawaii</x:v>
      </x:c>
      <x:c r="D126" s="27" t="str">
        <x:v>Hawaii</x:v>
      </x:c>
      <x:c r="E126" s="27" t="str">
        <x:v>Hawaii foodservice distribution.</x:v>
      </x:c>
      <x:c r="F126" s="27" t="str">
        <x:v>HI</x:v>
      </x:c>
      <x:c r="G126" s="27" t="str">
        <x:v>https://www.yhata.com</x:v>
      </x:c>
      <x:c r="H126" s="27" t="str">
        <x:v>High</x:v>
      </x:c>
      <x:c r="I126" s="27" t="str"/>
      <x:c r="J126" s="54" t="n">
        <x:v>46217</x:v>
      </x:c>
      <x:c r="K126" s="27" t="str">
        <x:f>IF('Read Me'!$E$13="","",IF(OR($B126="National",$B126="Online nationwide",ISNUMBER(SEARCH(","&amp;'Read Me'!$E$13&amp;",",","&amp;$F126&amp;","))),"MATCH",""))</x:f>
      </x:c>
    </x:row>
    <x:row r="127">
      <x:c r="A127" s="27" t="str">
        <x:v>Yen Bros. Food Service</x:v>
      </x:c>
      <x:c r="B127" s="27" t="str">
        <x:v>Regional</x:v>
      </x:c>
      <x:c r="C127" s="27" t="str">
        <x:v>Pacific Northwest</x:v>
      </x:c>
      <x:c r="D127" s="27" t="str">
        <x:v>Washington, Oregon</x:v>
      </x:c>
      <x:c r="E127" s="27" t="str">
        <x:v>Seattle-centered Asian and broadline distribution.</x:v>
      </x:c>
      <x:c r="F127" s="27" t="str">
        <x:v>WA,OR</x:v>
      </x:c>
      <x:c r="G127" s="27" t="str">
        <x:v>https://www.yenbros.com</x:v>
      </x:c>
      <x:c r="H127" s="27" t="str">
        <x:v>Medium</x:v>
      </x:c>
      <x:c r="I127" s="27" t="str"/>
      <x:c r="J127" s="54" t="n">
        <x:v>46217</x:v>
      </x:c>
      <x:c r="K127" s="27" t="str">
        <x:f>IF('Read Me'!$E$13="","",IF(OR($B127="National",$B127="Online nationwide",ISNUMBER(SEARCH(","&amp;'Read Me'!$E$13&amp;",",","&amp;$F127&amp;","))),"MATCH",""))</x:f>
      </x:c>
    </x:row>
    <x:row r="128">
      <x:c r="A128" s="27" t="str">
        <x:v>Baldor Specialty Foods</x:v>
      </x:c>
      <x:c r="B128" s="27" t="str">
        <x:v>Multi-regional</x:v>
      </x:c>
      <x:c r="C128" s="27" t="str">
        <x:v>Northeast / Mid-Atlantic</x:v>
      </x:c>
      <x:c r="D128" s="27" t="str">
        <x:v>New York, New Jersey, Connecticut, Massachusetts, Rhode Island, Pennsylvania, Delaware, Maryland, District of Columbia, Virginia</x:v>
      </x:c>
      <x:c r="E128" s="27" t="str">
        <x:v>New York, Boston and Washington, D.C. hubs serving Northeast and Mid-Atlantic markets.</x:v>
      </x:c>
      <x:c r="F128" s="27" t="str">
        <x:v>NY,NJ,CT,MA,RI,PA,DE,MD,DC,VA</x:v>
      </x:c>
      <x:c r="G128" s="27" t="str">
        <x:v>https://www.baldorfood.com/services</x:v>
      </x:c>
      <x:c r="H128" s="27" t="str">
        <x:v>High</x:v>
      </x:c>
      <x:c r="I128" s="27" t="str">
        <x:v>Confirm exact ZIP; the state list represents the published regional corridor.</x:v>
      </x:c>
      <x:c r="J128" s="54" t="n">
        <x:v>46217</x:v>
      </x:c>
      <x:c r="K128" s="27" t="str">
        <x:f>IF('Read Me'!$E$13="","",IF(OR($B128="National",$B128="Online nationwide",ISNUMBER(SEARCH(","&amp;'Read Me'!$E$13&amp;",",","&amp;$F128&amp;","))),"MATCH",""))</x:f>
      </x:c>
    </x:row>
    <x:row r="129">
      <x:c r="A129" s="27" t="str">
        <x:v>FreshPoint</x:v>
      </x:c>
      <x:c r="B129" s="27" t="str">
        <x:v>Multi-regional</x:v>
      </x:c>
      <x:c r="C129" s="27" t="str">
        <x:v>National produce network</x:v>
      </x:c>
      <x:c r="D129" s="27" t="str">
        <x:v>Arizona, California, Colorado, Florida, Georgia, North Carolina, South Carolina, Tennessee, Texas, Washington</x:v>
      </x:c>
      <x:c r="E129" s="27" t="str">
        <x:v>Produce-distribution operating companies in selected markets across the United States.</x:v>
      </x:c>
      <x:c r="F129" s="27" t="str">
        <x:v>AZ,CA,CO,FL,GA,NC,SC,TN,TX,WA</x:v>
      </x:c>
      <x:c r="G129" s="27" t="str">
        <x:v>https://www.freshpoint.com/locations/</x:v>
      </x:c>
      <x:c r="H129" s="27" t="str">
        <x:v>Medium</x:v>
      </x:c>
      <x:c r="I129" s="27" t="str">
        <x:v>Not every state or ZIP is served; match through the nearest FreshPoint operating company.</x:v>
      </x:c>
      <x:c r="J129" s="54" t="n">
        <x:v>46217</x:v>
      </x:c>
      <x:c r="K129" s="27" t="str">
        <x:f>IF('Read Me'!$E$13="","",IF(OR($B129="National",$B129="Online nationwide",ISNUMBER(SEARCH(","&amp;'Read Me'!$E$13&amp;",",","&amp;$F129&amp;","))),"MATCH",""))</x:f>
        <x:v>MATCH</x:v>
      </x:c>
    </x:row>
    <x:row r="130">
      <x:c r="A130" s="27" t="str">
        <x:v>What Chefs Want</x:v>
      </x:c>
      <x:c r="B130" s="27" t="str">
        <x:v>Multi-regional</x:v>
      </x:c>
      <x:c r="C130" s="27" t="str">
        <x:v>Midwest / Southeast / Colorado</x:v>
      </x:c>
      <x:c r="D130" s="27" t="str">
        <x:v>Alabama, Colorado, Florida, Georgia, Illinois, Indiana, Kentucky, Missouri, North Carolina, South Carolina, Ohio, Tennessee</x:v>
      </x:c>
      <x:c r="E130" s="27" t="str">
        <x:v>Officially publishes service in these 12 states through 19 distribution centers.</x:v>
      </x:c>
      <x:c r="F130" s="27" t="str">
        <x:v>AL,CO,FL,GA,IL,IN,KY,MO,NC,SC,OH,TN</x:v>
      </x:c>
      <x:c r="G130" s="27" t="str">
        <x:v>https://www.whatchefswant.com/regions/</x:v>
      </x:c>
      <x:c r="H130" s="27" t="str">
        <x:v>High</x:v>
      </x:c>
      <x:c r="I130" s="27" t="str"/>
      <x:c r="J130" s="54" t="n">
        <x:v>46217</x:v>
      </x:c>
      <x:c r="K130" s="27" t="str">
        <x:f>IF('Read Me'!$E$13="","",IF(OR($B130="National",$B130="Online nationwide",ISNUMBER(SEARCH(","&amp;'Read Me'!$E$13&amp;",",","&amp;$F130&amp;","))),"MATCH",""))</x:f>
        <x:v>MATCH</x:v>
      </x:c>
    </x:row>
    <x:row r="131">
      <x:c r="A131" s="27" t="str">
        <x:v>Gourmet Foods International</x:v>
      </x:c>
      <x:c r="B131" s="27" t="str">
        <x:v>Multi-regional</x:v>
      </x:c>
      <x:c r="C131" s="27" t="str">
        <x:v>Major U.S. markets</x:v>
      </x:c>
      <x:c r="D131" s="27" t="str">
        <x:v>Georgia, California, Florida, Texas, New Jersey, Massachusetts, Illinois, Washington, Colorado</x:v>
      </x:c>
      <x:c r="E131" s="27" t="str">
        <x:v>Specialty-food distribution through multiple U.S. distribution centers.</x:v>
      </x:c>
      <x:c r="F131" s="27" t="str">
        <x:v>GA,CA,FL,TX,NJ,MA,IL,WA,CO</x:v>
      </x:c>
      <x:c r="G131" s="27" t="str">
        <x:v>https://www.gfifoods.com/locations</x:v>
      </x:c>
      <x:c r="H131" s="27" t="str">
        <x:v>Medium</x:v>
      </x:c>
      <x:c r="I131" s="27" t="str">
        <x:v>Confirm market and delivery route; states reflect major operating locations.</x:v>
      </x:c>
      <x:c r="J131" s="54" t="n">
        <x:v>46217</x:v>
      </x:c>
      <x:c r="K131" s="27" t="str">
        <x:f>IF('Read Me'!$E$13="","",IF(OR($B131="National",$B131="Online nationwide",ISNUMBER(SEARCH(","&amp;'Read Me'!$E$13&amp;",",","&amp;$F131&amp;","))),"MATCH",""))</x:f>
        <x:v>MATCH</x:v>
      </x:c>
    </x:row>
    <x:row r="132">
      <x:c r="A132" s="27" t="str">
        <x:v>FoodServiceDirect</x:v>
      </x:c>
      <x:c r="B132" s="27" t="str">
        <x:v>Online nationwide</x:v>
      </x:c>
      <x:c r="C132" s="27" t="str">
        <x:v>Nationwide / parcel or freight</x:v>
      </x:c>
      <x:c r="D132" s="27" t="str"/>
      <x:c r="E132" s="27" t="str">
        <x:v>Online foodservice retailer; shipping method, temperature controls and availability vary by ZIP.</x:v>
      </x:c>
      <x:c r="F132" s="27" t="str"/>
      <x:c r="G132" s="27" t="str">
        <x:v>https://www.foodservicedirect.com</x:v>
      </x:c>
      <x:c r="H132" s="27" t="str">
        <x:v>High</x:v>
      </x:c>
      <x:c r="I132" s="27" t="str"/>
      <x:c r="J132" s="54" t="n">
        <x:v>46217</x:v>
      </x:c>
      <x:c r="K132" s="27" t="str">
        <x:f>IF('Read Me'!$E$13="","",IF(OR($B132="National",$B132="Online nationwide",ISNUMBER(SEARCH(","&amp;'Read Me'!$E$13&amp;",",","&amp;$F132&amp;","))),"MATCH",""))</x:f>
        <x:v>MATCH</x:v>
      </x:c>
    </x:row>
    <x:row r="133">
      <x:c r="A133" s="27" t="str">
        <x:v>WebstaurantStore</x:v>
      </x:c>
      <x:c r="B133" s="27" t="str">
        <x:v>Online nationwide</x:v>
      </x:c>
      <x:c r="C133" s="27" t="str">
        <x:v>Nationwide / parcel or freight</x:v>
      </x:c>
      <x:c r="D133" s="27" t="str"/>
      <x:c r="E133" s="27" t="str">
        <x:v>National e-commerce ordering; freight, parcel and product restrictions vary by ZIP.</x:v>
      </x:c>
      <x:c r="F133" s="27" t="str"/>
      <x:c r="G133" s="27" t="str">
        <x:v>https://www.webstaurantstore.com</x:v>
      </x:c>
      <x:c r="H133" s="27" t="str">
        <x:v>High</x:v>
      </x:c>
      <x:c r="I133" s="27" t="str"/>
      <x:c r="J133" s="54" t="n">
        <x:v>46217</x:v>
      </x:c>
      <x:c r="K133" s="27" t="str">
        <x:f>IF('Read Me'!$E$13="","",IF(OR($B133="National",$B133="Online nationwide",ISNUMBER(SEARCH(","&amp;'Read Me'!$E$13&amp;",",","&amp;$F133&amp;","))),"MATCH",""))</x:f>
        <x:v>MATCH</x:v>
      </x:c>
    </x:row>
    <x:row r="134">
      <x:c r="A134" s="27" t="str">
        <x:v>Restaurant Depot / Jetro</x:v>
      </x:c>
      <x:c r="B134" s="27" t="str">
        <x:v>Multi-regional</x:v>
      </x:c>
      <x:c r="C134" s="27" t="str">
        <x:v>U.S. metro markets</x:v>
      </x:c>
      <x:c r="D134" s="27" t="str"/>
      <x:c r="E134" s="27" t="str">
        <x:v>Cash-and-carry warehouse network in many states; use the nearest warehouse rather than assuming delivery.</x:v>
      </x:c>
      <x:c r="F134" s="27" t="str"/>
      <x:c r="G134" s="27" t="str">
        <x:v>https://www.restaurantdepot.com/locations/find-a-warehouse</x:v>
      </x:c>
      <x:c r="H134" s="27" t="str">
        <x:v>Medium</x:v>
      </x:c>
      <x:c r="I134" s="27" t="str">
        <x:v>Not auto-matched until a warehouse-to-state table is imported.</x:v>
      </x:c>
      <x:c r="J134" s="54" t="n">
        <x:v>46217</x:v>
      </x:c>
      <x:c r="K134" s="27" t="str">
        <x:f>IF('Read Me'!$E$13="","",IF(OR($B134="National",$B134="Online nationwide",ISNUMBER(SEARCH(","&amp;'Read Me'!$E$13&amp;",",","&amp;$F134&amp;","))),"MATCH",""))</x:f>
      </x:c>
    </x:row>
    <x:row r="135">
      <x:c r="A135" s="27" t="str">
        <x:v>UNFI</x:v>
      </x:c>
      <x:c r="B135" s="27" t="str">
        <x:v>National</x:v>
      </x:c>
      <x:c r="C135" s="27" t="str">
        <x:v>Nationwide</x:v>
      </x:c>
      <x:c r="D135" s="27" t="str"/>
      <x:c r="E135" s="27" t="str">
        <x:v>National grocery, natural and specialty distribution network.</x:v>
      </x:c>
      <x:c r="F135" s="27" t="str"/>
      <x:c r="G135" s="27" t="str">
        <x:v>https://www.unfi.com/locations</x:v>
      </x:c>
      <x:c r="H135" s="27" t="str">
        <x:v>High</x:v>
      </x:c>
      <x:c r="I135" s="27" t="str"/>
      <x:c r="J135" s="54" t="n">
        <x:v>46217</x:v>
      </x:c>
      <x:c r="K135" s="27" t="str">
        <x:f>IF('Read Me'!$E$13="","",IF(OR($B135="National",$B135="Online nationwide",ISNUMBER(SEARCH(","&amp;'Read Me'!$E$13&amp;",",","&amp;$F135&amp;","))),"MATCH",""))</x:f>
        <x:v>MATCH</x:v>
      </x:c>
    </x:row>
    <x:row r="136">
      <x:c r="A136" s="27" t="str">
        <x:v>KeHE Distributors</x:v>
      </x:c>
      <x:c r="B136" s="27" t="str">
        <x:v>National</x:v>
      </x:c>
      <x:c r="C136" s="27" t="str">
        <x:v>Nationwide</x:v>
      </x:c>
      <x:c r="D136" s="27" t="str"/>
      <x:c r="E136" s="27" t="str">
        <x:v>National natural and specialty distribution network.</x:v>
      </x:c>
      <x:c r="F136" s="27" t="str"/>
      <x:c r="G136" s="27" t="str">
        <x:v>https://www.kehe.com/about/distribution-centers/</x:v>
      </x:c>
      <x:c r="H136" s="27" t="str">
        <x:v>High</x:v>
      </x:c>
      <x:c r="I136" s="27" t="str"/>
      <x:c r="J136" s="54" t="n">
        <x:v>46217</x:v>
      </x:c>
      <x:c r="K136" s="27" t="str">
        <x:f>IF('Read Me'!$E$13="","",IF(OR($B136="National",$B136="Online nationwide",ISNUMBER(SEARCH(","&amp;'Read Me'!$E$13&amp;",",","&amp;$F136&amp;","))),"MATCH",""))</x:f>
        <x:v>MATCH</x:v>
      </x:c>
    </x:row>
    <x:row r="137">
      <x:c r="A137" s="27" t="str">
        <x:v>C&amp;S Wholesale Grocers</x:v>
      </x:c>
      <x:c r="B137" s="27" t="str">
        <x:v>National</x:v>
      </x:c>
      <x:c r="C137" s="27" t="str">
        <x:v>Nationwide</x:v>
      </x:c>
      <x:c r="D137" s="27" t="str"/>
      <x:c r="E137" s="27" t="str">
        <x:v>National grocery wholesale and supply-chain network; customer eligibility varies.</x:v>
      </x:c>
      <x:c r="F137" s="27" t="str"/>
      <x:c r="G137" s="27" t="str">
        <x:v>https://www.cswg.com</x:v>
      </x:c>
      <x:c r="H137" s="27" t="str">
        <x:v>High</x:v>
      </x:c>
      <x:c r="I137" s="27" t="str"/>
      <x:c r="J137" s="54" t="n">
        <x:v>46217</x:v>
      </x:c>
      <x:c r="K137" s="27" t="str">
        <x:f>IF('Read Me'!$E$13="","",IF(OR($B137="National",$B137="Online nationwide",ISNUMBER(SEARCH(","&amp;'Read Me'!$E$13&amp;",",","&amp;$F137&amp;","))),"MATCH",""))</x:f>
        <x:v>MATCH</x:v>
      </x:c>
    </x:row>
    <x:row r="138">
      <x:c r="A138" s="27" t="str">
        <x:v>Core-Mark</x:v>
      </x:c>
      <x:c r="B138" s="27" t="str">
        <x:v>National</x:v>
      </x:c>
      <x:c r="C138" s="27" t="str">
        <x:v>Nationwide</x:v>
      </x:c>
      <x:c r="D138" s="27" t="str"/>
      <x:c r="E138" s="27" t="str">
        <x:v>National convenience distribution business within Performance Food Group.</x:v>
      </x:c>
      <x:c r="F138" s="27" t="str"/>
      <x:c r="G138" s="27" t="str">
        <x:v>https://www.core-mark.com</x:v>
      </x:c>
      <x:c r="H138" s="27" t="str">
        <x:v>High</x:v>
      </x:c>
      <x:c r="I138" s="27" t="str"/>
      <x:c r="J138" s="54" t="n">
        <x:v>46217</x:v>
      </x:c>
      <x:c r="K138" s="27" t="str">
        <x:f>IF('Read Me'!$E$13="","",IF(OR($B138="National",$B138="Online nationwide",ISNUMBER(SEARCH(","&amp;'Read Me'!$E$13&amp;",",","&amp;$F138&amp;","))),"MATCH",""))</x:f>
        <x:v>MATCH</x:v>
      </x:c>
    </x:row>
    <x:row r="139">
      <x:c r="A139" s="27" t="str">
        <x:v>Vistar</x:v>
      </x:c>
      <x:c r="B139" s="27" t="str">
        <x:v>National</x:v>
      </x:c>
      <x:c r="C139" s="27" t="str">
        <x:v>Nationwide</x:v>
      </x:c>
      <x:c r="D139" s="27" t="str"/>
      <x:c r="E139" s="27" t="str">
        <x:v>National vending, concessions and away-from-home distribution; company reports all 50 states.</x:v>
      </x:c>
      <x:c r="F139" s="27" t="str"/>
      <x:c r="G139" s="27" t="str">
        <x:v>https://www.vistar.com/locations</x:v>
      </x:c>
      <x:c r="H139" s="27" t="str">
        <x:v>High</x:v>
      </x:c>
      <x:c r="I139" s="27" t="str"/>
      <x:c r="J139" s="54" t="n">
        <x:v>46217</x:v>
      </x:c>
      <x:c r="K139" s="27" t="str">
        <x:f>IF('Read Me'!$E$13="","",IF(OR($B139="National",$B139="Online nationwide",ISNUMBER(SEARCH(","&amp;'Read Me'!$E$13&amp;",",","&amp;$F139&amp;","))),"MATCH",""))</x:f>
        <x:v>MATCH</x:v>
      </x:c>
    </x:row>
    <x:row r="140">
      <x:c r="A140" s="27" t="str">
        <x:v>D'Artagnan</x:v>
      </x:c>
      <x:c r="B140" s="27" t="str">
        <x:v>Online nationwide</x:v>
      </x:c>
      <x:c r="C140" s="27" t="str">
        <x:v>Nationwide / parcel or freight</x:v>
      </x:c>
      <x:c r="D140" s="27" t="str"/>
      <x:c r="E140" s="27" t="str">
        <x:v>Online specialty meat and gourmet-food ordering with ZIP-dependent shipping.</x:v>
      </x:c>
      <x:c r="F140" s="27" t="str"/>
      <x:c r="G140" s="27" t="str">
        <x:v>https://www.dartagnan.com</x:v>
      </x:c>
      <x:c r="H140" s="27" t="str">
        <x:v>High</x:v>
      </x:c>
      <x:c r="I140" s="27" t="str"/>
      <x:c r="J140" s="54" t="n">
        <x:v>46217</x:v>
      </x:c>
      <x:c r="K140" s="27" t="str">
        <x:f>IF('Read Me'!$E$13="","",IF(OR($B140="National",$B140="Online nationwide",ISNUMBER(SEARCH(","&amp;'Read Me'!$E$13&amp;",",","&amp;$F140&amp;","))),"MATCH",""))</x:f>
        <x:v>MATCH</x:v>
      </x:c>
    </x:row>
    <x:row r="141">
      <x:c r="A141" s="27" t="str">
        <x:v>Baker's Authority</x:v>
      </x:c>
      <x:c r="B141" s="27" t="str">
        <x:v>Online nationwide</x:v>
      </x:c>
      <x:c r="C141" s="27" t="str">
        <x:v>Nationwide / parcel or freight</x:v>
      </x:c>
      <x:c r="D141" s="27" t="str"/>
      <x:c r="E141" s="27" t="str">
        <x:v>Online bakery-ingredient ordering; freight and temperature requirements vary by ZIP.</x:v>
      </x:c>
      <x:c r="F141" s="27" t="str"/>
      <x:c r="G141" s="27" t="str">
        <x:v>https://www.bakersauthority.com</x:v>
      </x:c>
      <x:c r="H141" s="27" t="str">
        <x:v>Medium</x:v>
      </x:c>
      <x:c r="I141" s="27" t="str"/>
      <x:c r="J141" s="54" t="n">
        <x:v>46217</x:v>
      </x:c>
      <x:c r="K141" s="27" t="str">
        <x:f>IF('Read Me'!$E$13="","",IF(OR($B141="National",$B141="Online nationwide",ISNUMBER(SEARCH(","&amp;'Read Me'!$E$13&amp;",",","&amp;$F141&amp;","))),"MATCH",""))</x:f>
        <x:v>MATCH</x:v>
      </x:c>
    </x:row>
    <x:row r="142">
      <x:c r="A142" s="27" t="str">
        <x:v>International Gourmet Foods</x:v>
      </x:c>
      <x:c r="B142" s="27" t="str">
        <x:v>Multi-regional</x:v>
      </x:c>
      <x:c r="C142" s="27" t="str">
        <x:v>Mid-Atlantic / Southeast</x:v>
      </x:c>
      <x:c r="D142" s="27" t="str">
        <x:v>Virginia, Maryland, District of Columbia, North Carolina, Tennessee, South Carolina, Georgia</x:v>
      </x:c>
      <x:c r="E142" s="27" t="str">
        <x:v>Virginia-centered specialty distribution with Mid-Atlantic and Southeast operations.</x:v>
      </x:c>
      <x:c r="F142" s="27" t="str">
        <x:v>VA,MD,DC,NC,TN,SC,GA</x:v>
      </x:c>
      <x:c r="G142" s="27" t="str">
        <x:v>https://www.igf-inc.com</x:v>
      </x:c>
      <x:c r="H142" s="27" t="str">
        <x:v>Medium</x:v>
      </x:c>
      <x:c r="I142" s="27" t="str">
        <x:v>Confirm delivery route for each customer ZIP.</x:v>
      </x:c>
      <x:c r="J142" s="54" t="n">
        <x:v>46217</x:v>
      </x:c>
      <x:c r="K142" s="27" t="str">
        <x:f>IF('Read Me'!$E$13="","",IF(OR($B142="National",$B142="Online nationwide",ISNUMBER(SEARCH(","&amp;'Read Me'!$E$13&amp;",",","&amp;$F142&amp;","))),"MATCH",""))</x:f>
      </x:c>
    </x:row>
  </x:sheetData>
  <x:conditionalFormatting sqref="H2:H142">
    <x:cfRule type="expression" dxfId="3" priority="1">
      <x:formula>H2="High"</x:formula>
    </x:cfRule>
    <x:cfRule type="expression" dxfId="4" priority="2">
      <x:formula>H2="Medium"</x:formula>
    </x:cfRule>
    <x:cfRule type="expression" dxfId="5" priority="3">
      <x:formula>H2="Low"</x:formula>
    </x:cfRule>
  </x:conditionalFormatting>
  <x:conditionalFormatting sqref="K2:K142">
    <x:cfRule type="expression" dxfId="6" priority="4">
      <x:formula>K2="MATCH"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9768e7ae766477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6" hidden="0" customWidth="1"/>
    <x:col min="3" max="3" width="18" hidden="0" customWidth="1"/>
  </x:cols>
  <x:sheetData>
    <x:row r="1">
      <x:c r="A1" s="63" t="str">
        <x:v>Code</x:v>
      </x:c>
      <x:c r="B1" s="63" t="str">
        <x:v>State / Territory</x:v>
      </x:c>
      <x:c r="C1" s="63" t="str">
        <x:v>Census Region</x:v>
      </x:c>
    </x:row>
    <x:row r="2">
      <x:c r="A2" t="str">
        <x:v>AL</x:v>
      </x:c>
      <x:c r="B2" t="str">
        <x:v>Alabama</x:v>
      </x:c>
      <x:c r="C2" t="str">
        <x:v>South</x:v>
      </x:c>
    </x:row>
    <x:row r="3">
      <x:c r="A3" t="str">
        <x:v>AK</x:v>
      </x:c>
      <x:c r="B3" t="str">
        <x:v>Alaska</x:v>
      </x:c>
      <x:c r="C3" t="str">
        <x:v>West</x:v>
      </x:c>
    </x:row>
    <x:row r="4">
      <x:c r="A4" t="str">
        <x:v>AZ</x:v>
      </x:c>
      <x:c r="B4" t="str">
        <x:v>Arizona</x:v>
      </x:c>
      <x:c r="C4" t="str">
        <x:v>West</x:v>
      </x:c>
    </x:row>
    <x:row r="5">
      <x:c r="A5" t="str">
        <x:v>AR</x:v>
      </x:c>
      <x:c r="B5" t="str">
        <x:v>Arkansas</x:v>
      </x:c>
      <x:c r="C5" t="str">
        <x:v>South</x:v>
      </x:c>
    </x:row>
    <x:row r="6">
      <x:c r="A6" t="str">
        <x:v>CA</x:v>
      </x:c>
      <x:c r="B6" t="str">
        <x:v>California</x:v>
      </x:c>
      <x:c r="C6" t="str">
        <x:v>West</x:v>
      </x:c>
    </x:row>
    <x:row r="7">
      <x:c r="A7" t="str">
        <x:v>CO</x:v>
      </x:c>
      <x:c r="B7" t="str">
        <x:v>Colorado</x:v>
      </x:c>
      <x:c r="C7" t="str">
        <x:v>West</x:v>
      </x:c>
    </x:row>
    <x:row r="8">
      <x:c r="A8" t="str">
        <x:v>CT</x:v>
      </x:c>
      <x:c r="B8" t="str">
        <x:v>Connecticut</x:v>
      </x:c>
      <x:c r="C8" t="str">
        <x:v>Northeast</x:v>
      </x:c>
    </x:row>
    <x:row r="9">
      <x:c r="A9" t="str">
        <x:v>DE</x:v>
      </x:c>
      <x:c r="B9" t="str">
        <x:v>Delaware</x:v>
      </x:c>
      <x:c r="C9" t="str">
        <x:v>South</x:v>
      </x:c>
    </x:row>
    <x:row r="10">
      <x:c r="A10" t="str">
        <x:v>DC</x:v>
      </x:c>
      <x:c r="B10" t="str">
        <x:v>District of Columbia</x:v>
      </x:c>
      <x:c r="C10" t="str">
        <x:v>South</x:v>
      </x:c>
    </x:row>
    <x:row r="11">
      <x:c r="A11" t="str">
        <x:v>FL</x:v>
      </x:c>
      <x:c r="B11" t="str">
        <x:v>Florida</x:v>
      </x:c>
      <x:c r="C11" t="str">
        <x:v>South</x:v>
      </x:c>
    </x:row>
    <x:row r="12">
      <x:c r="A12" t="str">
        <x:v>GA</x:v>
      </x:c>
      <x:c r="B12" t="str">
        <x:v>Georgia</x:v>
      </x:c>
      <x:c r="C12" t="str">
        <x:v>South</x:v>
      </x:c>
    </x:row>
    <x:row r="13">
      <x:c r="A13" t="str">
        <x:v>HI</x:v>
      </x:c>
      <x:c r="B13" t="str">
        <x:v>Hawaii</x:v>
      </x:c>
      <x:c r="C13" t="str">
        <x:v>West</x:v>
      </x:c>
    </x:row>
    <x:row r="14">
      <x:c r="A14" t="str">
        <x:v>ID</x:v>
      </x:c>
      <x:c r="B14" t="str">
        <x:v>Idaho</x:v>
      </x:c>
      <x:c r="C14" t="str">
        <x:v>West</x:v>
      </x:c>
    </x:row>
    <x:row r="15">
      <x:c r="A15" t="str">
        <x:v>IL</x:v>
      </x:c>
      <x:c r="B15" t="str">
        <x:v>Illinois</x:v>
      </x:c>
      <x:c r="C15" t="str">
        <x:v>Midwest</x:v>
      </x:c>
    </x:row>
    <x:row r="16">
      <x:c r="A16" t="str">
        <x:v>IN</x:v>
      </x:c>
      <x:c r="B16" t="str">
        <x:v>Indiana</x:v>
      </x:c>
      <x:c r="C16" t="str">
        <x:v>Midwest</x:v>
      </x:c>
    </x:row>
    <x:row r="17">
      <x:c r="A17" t="str">
        <x:v>IA</x:v>
      </x:c>
      <x:c r="B17" t="str">
        <x:v>Iowa</x:v>
      </x:c>
      <x:c r="C17" t="str">
        <x:v>Midwest</x:v>
      </x:c>
    </x:row>
    <x:row r="18">
      <x:c r="A18" t="str">
        <x:v>KS</x:v>
      </x:c>
      <x:c r="B18" t="str">
        <x:v>Kansas</x:v>
      </x:c>
      <x:c r="C18" t="str">
        <x:v>Midwest</x:v>
      </x:c>
    </x:row>
    <x:row r="19">
      <x:c r="A19" t="str">
        <x:v>KY</x:v>
      </x:c>
      <x:c r="B19" t="str">
        <x:v>Kentucky</x:v>
      </x:c>
      <x:c r="C19" t="str">
        <x:v>South</x:v>
      </x:c>
    </x:row>
    <x:row r="20">
      <x:c r="A20" t="str">
        <x:v>LA</x:v>
      </x:c>
      <x:c r="B20" t="str">
        <x:v>Louisiana</x:v>
      </x:c>
      <x:c r="C20" t="str">
        <x:v>South</x:v>
      </x:c>
    </x:row>
    <x:row r="21">
      <x:c r="A21" t="str">
        <x:v>ME</x:v>
      </x:c>
      <x:c r="B21" t="str">
        <x:v>Maine</x:v>
      </x:c>
      <x:c r="C21" t="str">
        <x:v>Northeast</x:v>
      </x:c>
    </x:row>
    <x:row r="22">
      <x:c r="A22" t="str">
        <x:v>MD</x:v>
      </x:c>
      <x:c r="B22" t="str">
        <x:v>Maryland</x:v>
      </x:c>
      <x:c r="C22" t="str">
        <x:v>South</x:v>
      </x:c>
    </x:row>
    <x:row r="23">
      <x:c r="A23" t="str">
        <x:v>MA</x:v>
      </x:c>
      <x:c r="B23" t="str">
        <x:v>Massachusetts</x:v>
      </x:c>
      <x:c r="C23" t="str">
        <x:v>Northeast</x:v>
      </x:c>
    </x:row>
    <x:row r="24">
      <x:c r="A24" t="str">
        <x:v>MI</x:v>
      </x:c>
      <x:c r="B24" t="str">
        <x:v>Michigan</x:v>
      </x:c>
      <x:c r="C24" t="str">
        <x:v>Midwest</x:v>
      </x:c>
    </x:row>
    <x:row r="25">
      <x:c r="A25" t="str">
        <x:v>MN</x:v>
      </x:c>
      <x:c r="B25" t="str">
        <x:v>Minnesota</x:v>
      </x:c>
      <x:c r="C25" t="str">
        <x:v>Midwest</x:v>
      </x:c>
    </x:row>
    <x:row r="26">
      <x:c r="A26" t="str">
        <x:v>MS</x:v>
      </x:c>
      <x:c r="B26" t="str">
        <x:v>Mississippi</x:v>
      </x:c>
      <x:c r="C26" t="str">
        <x:v>South</x:v>
      </x:c>
    </x:row>
    <x:row r="27">
      <x:c r="A27" t="str">
        <x:v>MO</x:v>
      </x:c>
      <x:c r="B27" t="str">
        <x:v>Missouri</x:v>
      </x:c>
      <x:c r="C27" t="str">
        <x:v>Midwest</x:v>
      </x:c>
    </x:row>
    <x:row r="28">
      <x:c r="A28" t="str">
        <x:v>MT</x:v>
      </x:c>
      <x:c r="B28" t="str">
        <x:v>Montana</x:v>
      </x:c>
      <x:c r="C28" t="str">
        <x:v>West</x:v>
      </x:c>
    </x:row>
    <x:row r="29">
      <x:c r="A29" t="str">
        <x:v>NE</x:v>
      </x:c>
      <x:c r="B29" t="str">
        <x:v>Nebraska</x:v>
      </x:c>
      <x:c r="C29" t="str">
        <x:v>Midwest</x:v>
      </x:c>
    </x:row>
    <x:row r="30">
      <x:c r="A30" t="str">
        <x:v>NV</x:v>
      </x:c>
      <x:c r="B30" t="str">
        <x:v>Nevada</x:v>
      </x:c>
      <x:c r="C30" t="str">
        <x:v>West</x:v>
      </x:c>
    </x:row>
    <x:row r="31">
      <x:c r="A31" t="str">
        <x:v>NH</x:v>
      </x:c>
      <x:c r="B31" t="str">
        <x:v>New Hampshire</x:v>
      </x:c>
      <x:c r="C31" t="str">
        <x:v>Northeast</x:v>
      </x:c>
    </x:row>
    <x:row r="32">
      <x:c r="A32" t="str">
        <x:v>NJ</x:v>
      </x:c>
      <x:c r="B32" t="str">
        <x:v>New Jersey</x:v>
      </x:c>
      <x:c r="C32" t="str">
        <x:v>Northeast</x:v>
      </x:c>
    </x:row>
    <x:row r="33">
      <x:c r="A33" t="str">
        <x:v>NM</x:v>
      </x:c>
      <x:c r="B33" t="str">
        <x:v>New Mexico</x:v>
      </x:c>
      <x:c r="C33" t="str">
        <x:v>West</x:v>
      </x:c>
    </x:row>
    <x:row r="34">
      <x:c r="A34" t="str">
        <x:v>NY</x:v>
      </x:c>
      <x:c r="B34" t="str">
        <x:v>New York</x:v>
      </x:c>
      <x:c r="C34" t="str">
        <x:v>Northeast</x:v>
      </x:c>
    </x:row>
    <x:row r="35">
      <x:c r="A35" t="str">
        <x:v>NC</x:v>
      </x:c>
      <x:c r="B35" t="str">
        <x:v>North Carolina</x:v>
      </x:c>
      <x:c r="C35" t="str">
        <x:v>South</x:v>
      </x:c>
    </x:row>
    <x:row r="36">
      <x:c r="A36" t="str">
        <x:v>ND</x:v>
      </x:c>
      <x:c r="B36" t="str">
        <x:v>North Dakota</x:v>
      </x:c>
      <x:c r="C36" t="str">
        <x:v>Midwest</x:v>
      </x:c>
    </x:row>
    <x:row r="37">
      <x:c r="A37" t="str">
        <x:v>OH</x:v>
      </x:c>
      <x:c r="B37" t="str">
        <x:v>Ohio</x:v>
      </x:c>
      <x:c r="C37" t="str">
        <x:v>Midwest</x:v>
      </x:c>
    </x:row>
    <x:row r="38">
      <x:c r="A38" t="str">
        <x:v>OK</x:v>
      </x:c>
      <x:c r="B38" t="str">
        <x:v>Oklahoma</x:v>
      </x:c>
      <x:c r="C38" t="str">
        <x:v>South</x:v>
      </x:c>
    </x:row>
    <x:row r="39">
      <x:c r="A39" t="str">
        <x:v>OR</x:v>
      </x:c>
      <x:c r="B39" t="str">
        <x:v>Oregon</x:v>
      </x:c>
      <x:c r="C39" t="str">
        <x:v>West</x:v>
      </x:c>
    </x:row>
    <x:row r="40">
      <x:c r="A40" t="str">
        <x:v>PA</x:v>
      </x:c>
      <x:c r="B40" t="str">
        <x:v>Pennsylvania</x:v>
      </x:c>
      <x:c r="C40" t="str">
        <x:v>Northeast</x:v>
      </x:c>
    </x:row>
    <x:row r="41">
      <x:c r="A41" t="str">
        <x:v>PR</x:v>
      </x:c>
      <x:c r="B41" t="str">
        <x:v>Puerto Rico</x:v>
      </x:c>
      <x:c r="C41" t="str">
        <x:v>Territory</x:v>
      </x:c>
    </x:row>
    <x:row r="42">
      <x:c r="A42" t="str">
        <x:v>RI</x:v>
      </x:c>
      <x:c r="B42" t="str">
        <x:v>Rhode Island</x:v>
      </x:c>
      <x:c r="C42" t="str">
        <x:v>Northeast</x:v>
      </x:c>
    </x:row>
    <x:row r="43">
      <x:c r="A43" t="str">
        <x:v>SC</x:v>
      </x:c>
      <x:c r="B43" t="str">
        <x:v>South Carolina</x:v>
      </x:c>
      <x:c r="C43" t="str">
        <x:v>South</x:v>
      </x:c>
    </x:row>
    <x:row r="44">
      <x:c r="A44" t="str">
        <x:v>SD</x:v>
      </x:c>
      <x:c r="B44" t="str">
        <x:v>South Dakota</x:v>
      </x:c>
      <x:c r="C44" t="str">
        <x:v>Midwest</x:v>
      </x:c>
    </x:row>
    <x:row r="45">
      <x:c r="A45" t="str">
        <x:v>TN</x:v>
      </x:c>
      <x:c r="B45" t="str">
        <x:v>Tennessee</x:v>
      </x:c>
      <x:c r="C45" t="str">
        <x:v>South</x:v>
      </x:c>
    </x:row>
    <x:row r="46">
      <x:c r="A46" t="str">
        <x:v>TX</x:v>
      </x:c>
      <x:c r="B46" t="str">
        <x:v>Texas</x:v>
      </x:c>
      <x:c r="C46" t="str">
        <x:v>South</x:v>
      </x:c>
    </x:row>
    <x:row r="47">
      <x:c r="A47" t="str">
        <x:v>UT</x:v>
      </x:c>
      <x:c r="B47" t="str">
        <x:v>Utah</x:v>
      </x:c>
      <x:c r="C47" t="str">
        <x:v>West</x:v>
      </x:c>
    </x:row>
    <x:row r="48">
      <x:c r="A48" t="str">
        <x:v>VT</x:v>
      </x:c>
      <x:c r="B48" t="str">
        <x:v>Vermont</x:v>
      </x:c>
      <x:c r="C48" t="str">
        <x:v>Northeast</x:v>
      </x:c>
    </x:row>
    <x:row r="49">
      <x:c r="A49" t="str">
        <x:v>VA</x:v>
      </x:c>
      <x:c r="B49" t="str">
        <x:v>Virginia</x:v>
      </x:c>
      <x:c r="C49" t="str">
        <x:v>South</x:v>
      </x:c>
    </x:row>
    <x:row r="50">
      <x:c r="A50" t="str">
        <x:v>WA</x:v>
      </x:c>
      <x:c r="B50" t="str">
        <x:v>Washington</x:v>
      </x:c>
      <x:c r="C50" t="str">
        <x:v>West</x:v>
      </x:c>
    </x:row>
    <x:row r="51">
      <x:c r="A51" t="str">
        <x:v>WV</x:v>
      </x:c>
      <x:c r="B51" t="str">
        <x:v>West Virginia</x:v>
      </x:c>
      <x:c r="C51" t="str">
        <x:v>South</x:v>
      </x:c>
    </x:row>
    <x:row r="52">
      <x:c r="A52" t="str">
        <x:v>WI</x:v>
      </x:c>
      <x:c r="B52" t="str">
        <x:v>Wisconsin</x:v>
      </x:c>
      <x:c r="C52" t="str">
        <x:v>Midwest</x:v>
      </x:c>
    </x:row>
    <x:row r="53">
      <x:c r="A53" t="str">
        <x:v>WY</x:v>
      </x:c>
      <x:c r="B53" t="str">
        <x:v>Wyoming</x:v>
      </x:c>
      <x:c r="C53" t="str">
        <x:v>West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30" hidden="0" customWidth="1"/>
    <x:col min="5" max="5" width="32" hidden="0" customWidth="1"/>
    <x:col min="6" max="6" width="28" hidden="0" customWidth="1"/>
    <x:col min="7" max="7" width="30" hidden="0" customWidth="1"/>
    <x:col min="8" max="8" width="18" hidden="0" customWidth="1"/>
    <x:col min="9" max="9" width="11" hidden="0" customWidth="1"/>
    <x:col min="10" max="10" width="28" hidden="0" customWidth="1"/>
    <x:col min="11" max="11" width="24" hidden="0" customWidth="1"/>
    <x:col min="12" max="12" width="42" hidden="0" customWidth="1"/>
    <x:col min="13" max="13" width="24" hidden="0" customWidth="1"/>
    <x:col min="14" max="14" width="58" hidden="0" customWidth="1"/>
    <x:col min="15" max="15" width="38" hidden="0" customWidth="1"/>
    <x:col min="16" max="16" width="30" hidden="0" customWidth="1"/>
    <x:col min="17" max="17" width="44" hidden="0" customWidth="1"/>
    <x:col min="18" max="18" width="24" hidden="0" customWidth="1"/>
    <x:col min="19" max="19" width="36" hidden="0" customWidth="1"/>
    <x:col min="20" max="20" width="48" hidden="0" customWidth="1"/>
    <x:col min="21" max="21" width="40" hidden="0" customWidth="1"/>
    <x:col min="22" max="22" width="34" hidden="0" customWidth="1"/>
    <x:col min="23" max="23" width="48" hidden="0" customWidth="1"/>
    <x:col min="24" max="24" width="48" hidden="0" customWidth="1"/>
    <x:col min="25" max="25" width="13" hidden="0" customWidth="1"/>
    <x:col min="26" max="26" width="12" hidden="0" customWidth="1"/>
    <x:col min="27" max="27" width="20" hidden="0" customWidth="1"/>
    <x:col min="28" max="28" width="18" hidden="0" customWidth="1"/>
    <x:col min="29" max="29" width="62" hidden="0" customWidth="1"/>
  </x:cols>
  <x:sheetData>
    <x:row r="1" ht="42" customHeight="1">
      <x:c r="A1" s="72" t="str">
        <x:v>Vendor ID</x:v>
      </x:c>
      <x:c r="B1" s="72" t="str">
        <x:v>Canonical Vendor Name</x:v>
      </x:c>
      <x:c r="C1" s="72" t="str">
        <x:v>Aliases / Legacy Names</x:v>
      </x:c>
      <x:c r="D1" s="72" t="str">
        <x:v>Vendor Type</x:v>
      </x:c>
      <x:c r="E1" s="72" t="str">
        <x:v>Category</x:v>
      </x:c>
      <x:c r="F1" s="72" t="str">
        <x:v>Active Status</x:v>
      </x:c>
      <x:c r="G1" s="72" t="str">
        <x:v>Parent / Network</x:v>
      </x:c>
      <x:c r="H1" s="72" t="str">
        <x:v>Country</x:v>
      </x:c>
      <x:c r="I1" s="72" t="str">
        <x:v>Country Code</x:v>
      </x:c>
      <x:c r="J1" s="72" t="str">
        <x:v>HQ / Primary Market</x:v>
      </x:c>
      <x:c r="K1" s="72" t="str">
        <x:v>Coverage Tier</x:v>
      </x:c>
      <x:c r="L1" s="72" t="str">
        <x:v>States / Provinces / Territories</x:v>
      </x:c>
      <x:c r="M1" s="72" t="str">
        <x:v>State Match Codes</x:v>
      </x:c>
      <x:c r="N1" s="72" t="str">
        <x:v>Service Area Notes</x:v>
      </x:c>
      <x:c r="O1" s="72" t="str">
        <x:v>Website</x:v>
      </x:c>
      <x:c r="P1" s="72" t="str">
        <x:v>Website Domain</x:v>
      </x:c>
      <x:c r="Q1" s="72" t="str">
        <x:v>Ordering URL</x:v>
      </x:c>
      <x:c r="R1" s="72" t="str">
        <x:v>Connector Key</x:v>
      </x:c>
      <x:c r="S1" s="72" t="str">
        <x:v>Portal Status</x:v>
      </x:c>
      <x:c r="T1" s="72" t="str">
        <x:v>Order Template / Import Docs</x:v>
      </x:c>
      <x:c r="U1" s="72" t="str">
        <x:v>Template / Export Type</x:v>
      </x:c>
      <x:c r="V1" s="72" t="str">
        <x:v>Directory Membership / Source Group</x:v>
      </x:c>
      <x:c r="W1" s="72" t="str">
        <x:v>Primary Source URL</x:v>
      </x:c>
      <x:c r="X1" s="72" t="str">
        <x:v>Geography Source URL</x:v>
      </x:c>
      <x:c r="Y1" s="72" t="str">
        <x:v>Verified On</x:v>
      </x:c>
      <x:c r="Z1" s="72" t="str">
        <x:v>Confidence</x:v>
      </x:c>
      <x:c r="AA1" s="72" t="str">
        <x:v>Seed Status</x:v>
      </x:c>
      <x:c r="AB1" s="72" t="str">
        <x:v>New / Updated in v2</x:v>
      </x:c>
      <x:c r="AC1" s="72" t="str">
        <x:v>Notes</x:v>
      </x:c>
    </x:row>
    <x:row r="2">
      <x:c r="A2" s="27" t="str">
        <x:v>butterfield_and_vallis</x:v>
      </x:c>
      <x:c r="B2" s="27" t="str">
        <x:v>Butterfield &amp; Vallis</x:v>
      </x:c>
      <x:c r="C2" s="27" t="str"/>
      <x:c r="D2" s="27" t="str">
        <x:v>Direct foodservice distributor</x:v>
      </x:c>
      <x:c r="E2" s="27" t="str">
        <x:v>Broadline / grocery wholesale</x:v>
      </x:c>
      <x:c r="F2" s="27" t="str">
        <x:v>Active</x:v>
      </x:c>
      <x:c r="G2" s="27" t="str"/>
      <x:c r="H2" s="27" t="str">
        <x:v>Bermuda</x:v>
      </x:c>
      <x:c r="I2" s="27" t="str">
        <x:v>BM</x:v>
      </x:c>
      <x:c r="J2" s="27" t="str">
        <x:v>Bermuda</x:v>
      </x:c>
      <x:c r="K2" s="27" t="str">
        <x:v>Territory-wide</x:v>
      </x:c>
      <x:c r="L2" s="27" t="str">
        <x:v>Bermuda</x:v>
      </x:c>
      <x:c r="M2" s="27" t="str"/>
      <x:c r="N2" s="27" t="str"/>
      <x:c r="O2" s="27" t="str">
        <x:v>https://www.bv.bm</x:v>
      </x:c>
      <x:c r="P2" s="27" t="str">
        <x:v>bv.bm</x:v>
      </x:c>
      <x:c r="Q2" s="27" t="str"/>
      <x:c r="R2" s="27" t="str"/>
      <x:c r="S2" s="27" t="str">
        <x:v>Ordering portal not publicly verified</x:v>
      </x:c>
      <x:c r="T2" s="27" t="str"/>
      <x:c r="U2" s="27" t="str">
        <x:v>No public template located</x:v>
      </x:c>
      <x:c r="V2" s="27" t="str">
        <x:v>IFDA 2026</x:v>
      </x:c>
      <x:c r="W2" s="27" t="str">
        <x:v>https://ifdaonline.org/distributor-members/</x:v>
      </x:c>
      <x:c r="X2" s="27" t="str">
        <x:v>https://www.bv.bm</x:v>
      </x:c>
      <x:c r="Y2" s="54" t="n">
        <x:v>46217</x:v>
      </x:c>
      <x:c r="Z2" s="27" t="str">
        <x:v>High</x:v>
      </x:c>
      <x:c r="AA2" s="27" t="str">
        <x:v>Approved seed</x:v>
      </x:c>
      <x:c r="AB2" s="27" t="str">
        <x:v>Yes</x:v>
      </x:c>
      <x:c r="AC2" s="27" t="str">
        <x:v>Current international IFDA distributor member; geography should be normalized by province/country during future expansion.</x:v>
      </x:c>
    </x:row>
    <x:row r="3">
      <x:c r="A3" s="27" t="str">
        <x:v>fortali_dist_de_alim_ltda</x:v>
      </x:c>
      <x:c r="B3" s="27" t="str">
        <x:v>Fortali Dist De Alim LTDA</x:v>
      </x:c>
      <x:c r="C3" s="27" t="str"/>
      <x:c r="D3" s="27" t="str">
        <x:v>Direct foodservice distributor</x:v>
      </x:c>
      <x:c r="E3" s="27" t="str">
        <x:v>Broadline</x:v>
      </x:c>
      <x:c r="F3" s="27" t="str">
        <x:v>Active</x:v>
      </x:c>
      <x:c r="G3" s="27" t="str"/>
      <x:c r="H3" s="27" t="str">
        <x:v>Brazil</x:v>
      </x:c>
      <x:c r="I3" s="27" t="str">
        <x:v>BR</x:v>
      </x:c>
      <x:c r="J3" s="27" t="str">
        <x:v>Brazil</x:v>
      </x:c>
      <x:c r="K3" s="27" t="str">
        <x:v>Regional Brazil</x:v>
      </x:c>
      <x:c r="L3" s="27" t="str"/>
      <x:c r="M3" s="27" t="str"/>
      <x:c r="N3" s="27" t="str"/>
      <x:c r="O3" s="27" t="str">
        <x:v>https://www.fortali.com.br</x:v>
      </x:c>
      <x:c r="P3" s="27" t="str">
        <x:v>fortali.com.br</x:v>
      </x:c>
      <x:c r="Q3" s="27" t="str"/>
      <x:c r="R3" s="27" t="str"/>
      <x:c r="S3" s="27" t="str">
        <x:v>Ordering portal not publicly verified</x:v>
      </x:c>
      <x:c r="T3" s="27" t="str"/>
      <x:c r="U3" s="27" t="str">
        <x:v>No public template located</x:v>
      </x:c>
      <x:c r="V3" s="27" t="str">
        <x:v>IFDA 2026</x:v>
      </x:c>
      <x:c r="W3" s="27" t="str">
        <x:v>https://ifdaonline.org/distributor-members/</x:v>
      </x:c>
      <x:c r="X3" s="27" t="str">
        <x:v>https://www.fortali.com.br</x:v>
      </x:c>
      <x:c r="Y3" s="54" t="n">
        <x:v>46217</x:v>
      </x:c>
      <x:c r="Z3" s="27" t="str">
        <x:v>High</x:v>
      </x:c>
      <x:c r="AA3" s="27" t="str">
        <x:v>Approved seed</x:v>
      </x:c>
      <x:c r="AB3" s="27" t="str">
        <x:v>Yes</x:v>
      </x:c>
      <x:c r="AC3" s="27" t="str">
        <x:v>Current international IFDA distributor member; geography should be normalized by province/country during future expansion.</x:v>
      </x:c>
    </x:row>
    <x:row r="4">
      <x:c r="A4" s="27" t="str">
        <x:v>amalgamated_dairies_limited_adl</x:v>
      </x:c>
      <x:c r="B4" s="27" t="str">
        <x:v>Amalgamated Dairies Limited (ADL)</x:v>
      </x:c>
      <x:c r="C4" s="27" t="str"/>
      <x:c r="D4" s="27" t="str">
        <x:v>Direct foodservice distributor</x:v>
      </x:c>
      <x:c r="E4" s="27" t="str">
        <x:v>Dairy / broadline</x:v>
      </x:c>
      <x:c r="F4" s="27" t="str">
        <x:v>Active</x:v>
      </x:c>
      <x:c r="G4" s="27" t="str"/>
      <x:c r="H4" s="27" t="str">
        <x:v>Canada</x:v>
      </x:c>
      <x:c r="I4" s="27" t="str">
        <x:v>CA</x:v>
      </x:c>
      <x:c r="J4" s="27" t="str">
        <x:v>Prince Edward Island</x:v>
      </x:c>
      <x:c r="K4" s="27" t="str">
        <x:v>National / regional Canada</x:v>
      </x:c>
      <x:c r="L4" s="27" t="str"/>
      <x:c r="M4" s="27" t="str"/>
      <x:c r="N4" s="27" t="str"/>
      <x:c r="O4" s="27" t="str">
        <x:v>https://www.adlfoods.ca</x:v>
      </x:c>
      <x:c r="P4" s="27" t="str">
        <x:v>adlfoods.ca</x:v>
      </x:c>
      <x:c r="Q4" s="27" t="str"/>
      <x:c r="R4" s="27" t="str"/>
      <x:c r="S4" s="27" t="str">
        <x:v>Ordering portal not publicly verified</x:v>
      </x:c>
      <x:c r="T4" s="27" t="str"/>
      <x:c r="U4" s="27" t="str">
        <x:v>No public template located</x:v>
      </x:c>
      <x:c r="V4" s="27" t="str">
        <x:v>IFDA 2026</x:v>
      </x:c>
      <x:c r="W4" s="27" t="str">
        <x:v>https://ifdaonline.org/distributor-members/</x:v>
      </x:c>
      <x:c r="X4" s="27" t="str">
        <x:v>https://www.adlfoods.ca</x:v>
      </x:c>
      <x:c r="Y4" s="54" t="n">
        <x:v>46217</x:v>
      </x:c>
      <x:c r="Z4" s="27" t="str">
        <x:v>High</x:v>
      </x:c>
      <x:c r="AA4" s="27" t="str">
        <x:v>Approved seed</x:v>
      </x:c>
      <x:c r="AB4" s="27" t="str">
        <x:v>Yes</x:v>
      </x:c>
      <x:c r="AC4" s="27" t="str">
        <x:v>Current international IFDA distributor member; geography should be normalized by province/country during future expansion.</x:v>
      </x:c>
    </x:row>
    <x:row r="5">
      <x:c r="A5" s="27" t="str">
        <x:v>aof_food_service_inc</x:v>
      </x:c>
      <x:c r="B5" s="27" t="str">
        <x:v>AOF Food Service Inc.</x:v>
      </x:c>
      <x:c r="C5" s="27" t="str"/>
      <x:c r="D5" s="27" t="str">
        <x:v>Direct foodservice distributor</x:v>
      </x:c>
      <x:c r="E5" s="27" t="str">
        <x:v>Broadline</x:v>
      </x:c>
      <x:c r="F5" s="27" t="str">
        <x:v>Active</x:v>
      </x:c>
      <x:c r="G5" s="27" t="str"/>
      <x:c r="H5" s="27" t="str">
        <x:v>Canada</x:v>
      </x:c>
      <x:c r="I5" s="27" t="str">
        <x:v>CA</x:v>
      </x:c>
      <x:c r="J5" s="27" t="str">
        <x:v>Quebec</x:v>
      </x:c>
      <x:c r="K5" s="27" t="str">
        <x:v>Regional Canada</x:v>
      </x:c>
      <x:c r="L5" s="27" t="str">
        <x:v>Quebec</x:v>
      </x:c>
      <x:c r="M5" s="27" t="str"/>
      <x:c r="N5" s="27" t="str"/>
      <x:c r="O5" s="27" t="str">
        <x:v>https://www.aof.ca</x:v>
      </x:c>
      <x:c r="P5" s="27" t="str">
        <x:v>aof.ca</x:v>
      </x:c>
      <x:c r="Q5" s="27" t="str"/>
      <x:c r="R5" s="27" t="str"/>
      <x:c r="S5" s="27" t="str">
        <x:v>Ordering portal not publicly verified</x:v>
      </x:c>
      <x:c r="T5" s="27" t="str"/>
      <x:c r="U5" s="27" t="str">
        <x:v>No public template located</x:v>
      </x:c>
      <x:c r="V5" s="27" t="str">
        <x:v>IFDA 2026</x:v>
      </x:c>
      <x:c r="W5" s="27" t="str">
        <x:v>https://ifdaonline.org/distributor-members/</x:v>
      </x:c>
      <x:c r="X5" s="27" t="str">
        <x:v>https://www.aof.ca</x:v>
      </x:c>
      <x:c r="Y5" s="54" t="n">
        <x:v>46217</x:v>
      </x:c>
      <x:c r="Z5" s="27" t="str">
        <x:v>High</x:v>
      </x:c>
      <x:c r="AA5" s="27" t="str">
        <x:v>Approved seed</x:v>
      </x:c>
      <x:c r="AB5" s="27" t="str">
        <x:v>Yes</x:v>
      </x:c>
      <x:c r="AC5" s="27" t="str">
        <x:v>Current international IFDA distributor member; geography should be normalized by province/country during future expansion.</x:v>
      </x:c>
    </x:row>
    <x:row r="6">
      <x:c r="A6" s="27" t="str">
        <x:v>capital_foodservice</x:v>
      </x:c>
      <x:c r="B6" s="27" t="str">
        <x:v>Capital Foodservice</x:v>
      </x:c>
      <x:c r="C6" s="27" t="str"/>
      <x:c r="D6" s="27" t="str">
        <x:v>Direct foodservice distributor</x:v>
      </x:c>
      <x:c r="E6" s="27" t="str">
        <x:v>Broadline</x:v>
      </x:c>
      <x:c r="F6" s="27" t="str">
        <x:v>Active</x:v>
      </x:c>
      <x:c r="G6" s="27" t="str"/>
      <x:c r="H6" s="27" t="str">
        <x:v>Canada</x:v>
      </x:c>
      <x:c r="I6" s="27" t="str">
        <x:v>CA</x:v>
      </x:c>
      <x:c r="J6" s="27" t="str">
        <x:v>New Brunswick / Atlantic Canada</x:v>
      </x:c>
      <x:c r="K6" s="27" t="str">
        <x:v>Regional Canada</x:v>
      </x:c>
      <x:c r="L6" s="27" t="str">
        <x:v>Atlantic Canada</x:v>
      </x:c>
      <x:c r="M6" s="27" t="str"/>
      <x:c r="N6" s="27" t="str"/>
      <x:c r="O6" s="27" t="str">
        <x:v>https://www.capitalfoodservice.ca</x:v>
      </x:c>
      <x:c r="P6" s="27" t="str">
        <x:v>capitalfoodservice.ca</x:v>
      </x:c>
      <x:c r="Q6" s="27" t="str"/>
      <x:c r="R6" s="27" t="str"/>
      <x:c r="S6" s="27" t="str">
        <x:v>Ordering portal not publicly verified</x:v>
      </x:c>
      <x:c r="T6" s="27" t="str"/>
      <x:c r="U6" s="27" t="str">
        <x:v>No public template located</x:v>
      </x:c>
      <x:c r="V6" s="27" t="str">
        <x:v>IFDA 2026</x:v>
      </x:c>
      <x:c r="W6" s="27" t="str">
        <x:v>https://ifdaonline.org/distributor-members/</x:v>
      </x:c>
      <x:c r="X6" s="27" t="str">
        <x:v>https://www.capitalfoodservice.ca</x:v>
      </x:c>
      <x:c r="Y6" s="54" t="n">
        <x:v>46217</x:v>
      </x:c>
      <x:c r="Z6" s="27" t="str">
        <x:v>High</x:v>
      </x:c>
      <x:c r="AA6" s="27" t="str">
        <x:v>Approved seed</x:v>
      </x:c>
      <x:c r="AB6" s="27" t="str">
        <x:v>Yes</x:v>
      </x:c>
      <x:c r="AC6" s="27" t="str">
        <x:v>Current international IFDA distributor member; geography should be normalized by province/country during future expansion.</x:v>
      </x:c>
    </x:row>
    <x:row r="7">
      <x:c r="A7" s="27" t="str">
        <x:v>centennial_foodservice</x:v>
      </x:c>
      <x:c r="B7" s="27" t="str">
        <x:v>Centennial Foodservice</x:v>
      </x:c>
      <x:c r="C7" s="27" t="str"/>
      <x:c r="D7" s="27" t="str">
        <x:v>Direct foodservice distributor</x:v>
      </x:c>
      <x:c r="E7" s="27" t="str">
        <x:v>Center-of-plate / broadline</x:v>
      </x:c>
      <x:c r="F7" s="27" t="str">
        <x:v>Active</x:v>
      </x:c>
      <x:c r="G7" s="27" t="str"/>
      <x:c r="H7" s="27" t="str">
        <x:v>Canada</x:v>
      </x:c>
      <x:c r="I7" s="27" t="str">
        <x:v>CA</x:v>
      </x:c>
      <x:c r="J7" s="27" t="str">
        <x:v>Western Canada</x:v>
      </x:c>
      <x:c r="K7" s="27" t="str">
        <x:v>Multi-regional Canada</x:v>
      </x:c>
      <x:c r="L7" s="27" t="str">
        <x:v>Western Canada</x:v>
      </x:c>
      <x:c r="M7" s="27" t="str"/>
      <x:c r="N7" s="27" t="str"/>
      <x:c r="O7" s="27" t="str">
        <x:v>https://www.centennialfood.com</x:v>
      </x:c>
      <x:c r="P7" s="27" t="str">
        <x:v>centennialfood.com</x:v>
      </x:c>
      <x:c r="Q7" s="27" t="str"/>
      <x:c r="R7" s="27" t="str"/>
      <x:c r="S7" s="27" t="str">
        <x:v>Ordering portal not publicly verified</x:v>
      </x:c>
      <x:c r="T7" s="27" t="str"/>
      <x:c r="U7" s="27" t="str">
        <x:v>No public template located</x:v>
      </x:c>
      <x:c r="V7" s="27" t="str">
        <x:v>IFDA 2026</x:v>
      </x:c>
      <x:c r="W7" s="27" t="str">
        <x:v>https://ifdaonline.org/distributor-members/</x:v>
      </x:c>
      <x:c r="X7" s="27" t="str">
        <x:v>https://www.centennialfood.com</x:v>
      </x:c>
      <x:c r="Y7" s="54" t="n">
        <x:v>46217</x:v>
      </x:c>
      <x:c r="Z7" s="27" t="str">
        <x:v>High</x:v>
      </x:c>
      <x:c r="AA7" s="27" t="str">
        <x:v>Approved seed</x:v>
      </x:c>
      <x:c r="AB7" s="27" t="str">
        <x:v>Yes</x:v>
      </x:c>
      <x:c r="AC7" s="27" t="str">
        <x:v>Current international IFDA distributor member; geography should be normalized by province/country during future expansion.</x:v>
      </x:c>
    </x:row>
    <x:row r="8">
      <x:c r="A8" s="27" t="str">
        <x:v>flanagan_foodservice_inc</x:v>
      </x:c>
      <x:c r="B8" s="27" t="str">
        <x:v>Flanagan Foodservice Inc.</x:v>
      </x:c>
      <x:c r="C8" s="27" t="str"/>
      <x:c r="D8" s="27" t="str">
        <x:v>Direct foodservice distributor</x:v>
      </x:c>
      <x:c r="E8" s="27" t="str">
        <x:v>Broadline</x:v>
      </x:c>
      <x:c r="F8" s="27" t="str">
        <x:v>Active</x:v>
      </x:c>
      <x:c r="G8" s="27" t="str"/>
      <x:c r="H8" s="27" t="str">
        <x:v>Canada</x:v>
      </x:c>
      <x:c r="I8" s="27" t="str">
        <x:v>CA</x:v>
      </x:c>
      <x:c r="J8" s="27" t="str">
        <x:v>Ontario</x:v>
      </x:c>
      <x:c r="K8" s="27" t="str">
        <x:v>Regional Canada</x:v>
      </x:c>
      <x:c r="L8" s="27" t="str">
        <x:v>Ontario</x:v>
      </x:c>
      <x:c r="M8" s="27" t="str"/>
      <x:c r="N8" s="27" t="str"/>
      <x:c r="O8" s="27" t="str">
        <x:v>https://www.flanagan.ca</x:v>
      </x:c>
      <x:c r="P8" s="27" t="str">
        <x:v>flanagan.ca</x:v>
      </x:c>
      <x:c r="Q8" s="27" t="str"/>
      <x:c r="R8" s="27" t="str"/>
      <x:c r="S8" s="27" t="str">
        <x:v>Ordering portal not publicly verified</x:v>
      </x:c>
      <x:c r="T8" s="27" t="str"/>
      <x:c r="U8" s="27" t="str">
        <x:v>No public template located</x:v>
      </x:c>
      <x:c r="V8" s="27" t="str">
        <x:v>IFDA 2026 | Frosty Acres 2025 member</x:v>
      </x:c>
      <x:c r="W8" s="27" t="str">
        <x:v>https://ifdaonline.org/distributor-members/</x:v>
      </x:c>
      <x:c r="X8" s="27" t="str">
        <x:v>https://www.flanagan.ca</x:v>
      </x:c>
      <x:c r="Y8" s="54" t="n">
        <x:v>46217</x:v>
      </x:c>
      <x:c r="Z8" s="27" t="str">
        <x:v>High</x:v>
      </x:c>
      <x:c r="AA8" s="27" t="str">
        <x:v>Approved seed</x:v>
      </x:c>
      <x:c r="AB8" s="27" t="str">
        <x:v>Yes</x:v>
      </x:c>
      <x:c r="AC8" s="27" t="str">
        <x:v>Current international IFDA distributor member; geography should be normalized by province/country during future expansion.</x:v>
      </x:c>
    </x:row>
    <x:row r="9">
      <x:c r="A9" s="27" t="str">
        <x:v>greenbridge_foodservice</x:v>
      </x:c>
      <x:c r="B9" s="27" t="str">
        <x:v>Greenbridge Foodservice</x:v>
      </x:c>
      <x:c r="C9" s="27" t="str"/>
      <x:c r="D9" s="27" t="str">
        <x:v>Distributor network / cooperative</x:v>
      </x:c>
      <x:c r="E9" s="27" t="str">
        <x:v>Distributor sales and marketing network</x:v>
      </x:c>
      <x:c r="F9" s="27" t="str">
        <x:v>Active</x:v>
      </x:c>
      <x:c r="G9" s="27" t="str"/>
      <x:c r="H9" s="27" t="str">
        <x:v>Canada</x:v>
      </x:c>
      <x:c r="I9" s="27" t="str">
        <x:v>CA</x:v>
      </x:c>
      <x:c r="J9" s="27" t="str">
        <x:v>Kitchener, Ontario</x:v>
      </x:c>
      <x:c r="K9" s="27" t="str">
        <x:v>National network</x:v>
      </x:c>
      <x:c r="L9" s="27" t="str">
        <x:v>Canada</x:v>
      </x:c>
      <x:c r="M9" s="27" t="str"/>
      <x:c r="N9" s="27" t="str"/>
      <x:c r="O9" s="27" t="str">
        <x:v>https://greenbridgefoodservice.ca</x:v>
      </x:c>
      <x:c r="P9" s="27" t="str">
        <x:v>greenbridgefoodservice.ca</x:v>
      </x:c>
      <x:c r="Q9" s="27" t="str"/>
      <x:c r="R9" s="27" t="str"/>
      <x:c r="S9" s="27" t="str">
        <x:v>Ordering portal not publicly verified</x:v>
      </x:c>
      <x:c r="T9" s="27" t="str"/>
      <x:c r="U9" s="27" t="str">
        <x:v>No public template located</x:v>
      </x:c>
      <x:c r="V9" s="27" t="str">
        <x:v>IFDA 2026</x:v>
      </x:c>
      <x:c r="W9" s="27" t="str">
        <x:v>https://ifdaonline.org/distributor-members/</x:v>
      </x:c>
      <x:c r="X9" s="27" t="str">
        <x:v>https://greenbridgefoodservice.ca</x:v>
      </x:c>
      <x:c r="Y9" s="54" t="n">
        <x:v>46217</x:v>
      </x:c>
      <x:c r="Z9" s="27" t="str">
        <x:v>High</x:v>
      </x:c>
      <x:c r="AA9" s="27" t="str">
        <x:v>Reference only</x:v>
      </x:c>
      <x:c r="AB9" s="27" t="str">
        <x:v>Yes</x:v>
      </x:c>
      <x:c r="AC9" s="27" t="str">
        <x:v>Current international IFDA distributor member; geography should be normalized by province/country during future expansion.</x:v>
      </x:c>
    </x:row>
    <x:row r="10">
      <x:c r="A10" s="27" t="str">
        <x:v>natures_cargo</x:v>
      </x:c>
      <x:c r="B10" s="27" t="str">
        <x:v>Natures Cargo</x:v>
      </x:c>
      <x:c r="C10" s="27" t="str"/>
      <x:c r="D10" s="27" t="str">
        <x:v>Direct foodservice distributor</x:v>
      </x:c>
      <x:c r="E10" s="27" t="str">
        <x:v>Natural / specialty distribution</x:v>
      </x:c>
      <x:c r="F10" s="27" t="str">
        <x:v>Active</x:v>
      </x:c>
      <x:c r="G10" s="27" t="str"/>
      <x:c r="H10" s="27" t="str">
        <x:v>Canada</x:v>
      </x:c>
      <x:c r="I10" s="27" t="str">
        <x:v>CA</x:v>
      </x:c>
      <x:c r="J10" s="27" t="str">
        <x:v>Canada</x:v>
      </x:c>
      <x:c r="K10" s="27" t="str">
        <x:v>Regional Canada</x:v>
      </x:c>
      <x:c r="L10" s="27" t="str"/>
      <x:c r="M10" s="27" t="str"/>
      <x:c r="N10" s="27" t="str"/>
      <x:c r="O10" s="27" t="str">
        <x:v>https://www.naturescargo.ca</x:v>
      </x:c>
      <x:c r="P10" s="27" t="str">
        <x:v>naturescargo.ca</x:v>
      </x:c>
      <x:c r="Q10" s="27" t="str"/>
      <x:c r="R10" s="27" t="str"/>
      <x:c r="S10" s="27" t="str">
        <x:v>Ordering portal not publicly verified</x:v>
      </x:c>
      <x:c r="T10" s="27" t="str"/>
      <x:c r="U10" s="27" t="str">
        <x:v>No public template located</x:v>
      </x:c>
      <x:c r="V10" s="27" t="str">
        <x:v>IFDA 2026</x:v>
      </x:c>
      <x:c r="W10" s="27" t="str">
        <x:v>https://ifdaonline.org/distributor-members/</x:v>
      </x:c>
      <x:c r="X10" s="27" t="str">
        <x:v>https://www.naturescargo.ca</x:v>
      </x:c>
      <x:c r="Y10" s="54" t="n">
        <x:v>46217</x:v>
      </x:c>
      <x:c r="Z10" s="27" t="str">
        <x:v>High</x:v>
      </x:c>
      <x:c r="AA10" s="27" t="str">
        <x:v>Approved seed</x:v>
      </x:c>
      <x:c r="AB10" s="27" t="str">
        <x:v>Yes</x:v>
      </x:c>
      <x:c r="AC10" s="27" t="str">
        <x:v>Current international IFDA distributor member; geography should be normalized by province/country during future expansion.</x:v>
      </x:c>
    </x:row>
    <x:row r="11">
      <x:c r="A11" s="27" t="str">
        <x:v>mendez_and_co_inc</x:v>
      </x:c>
      <x:c r="B11" s="27" t="str">
        <x:v>Mendez &amp; Co., Inc.</x:v>
      </x:c>
      <x:c r="C11" s="27" t="str"/>
      <x:c r="D11" s="27" t="str">
        <x:v>Direct foodservice distributor</x:v>
      </x:c>
      <x:c r="E11" s="27" t="str">
        <x:v>Broadline / Puerto Rico</x:v>
      </x:c>
      <x:c r="F11" s="27" t="str">
        <x:v>Active</x:v>
      </x:c>
      <x:c r="G11" s="27" t="str"/>
      <x:c r="H11" s="27" t="str">
        <x:v>Puerto Rico</x:v>
      </x:c>
      <x:c r="I11" s="27" t="str">
        <x:v>PR</x:v>
      </x:c>
      <x:c r="J11" s="27" t="str"/>
      <x:c r="K11" s="27" t="str">
        <x:v>Territory-wide</x:v>
      </x:c>
      <x:c r="L11" s="27" t="str">
        <x:v>Puerto Rico</x:v>
      </x:c>
      <x:c r="M11" s="27" t="str">
        <x:v>PR</x:v>
      </x:c>
      <x:c r="N11" s="27" t="str">
        <x:v>Puerto Rico foodservice and beverage distribution.</x:v>
      </x:c>
      <x:c r="O11" s="27" t="str">
        <x:v>https://www.mendezcopr.com</x:v>
      </x:c>
      <x:c r="P11" s="27" t="str">
        <x:v>mendezcopr.com</x:v>
      </x:c>
      <x:c r="Q11" s="27"/>
      <x:c r="R11" s="27" t="str"/>
      <x:c r="S11" s="27" t="str">
        <x:v>Ordering portal not publicly verified</x:v>
      </x:c>
      <x:c r="T11" s="27"/>
      <x:c r="U11" s="27" t="str">
        <x:v>No public template located in this pass</x:v>
      </x:c>
      <x:c r="V11" s="27" t="str">
        <x:v>IFDA 2026</x:v>
      </x:c>
      <x:c r="W11" s="27" t="str">
        <x:v>https://ifdaonline.org/distributor-members/</x:v>
      </x:c>
      <x:c r="X11" s="27" t="str">
        <x:v>https://www.mendezcopr.com</x:v>
      </x:c>
      <x:c r="Y11" s="54" t="n">
        <x:v>46217</x:v>
      </x:c>
      <x:c r="Z11" s="27" t="str">
        <x:v>High</x:v>
      </x:c>
      <x:c r="AA11" s="27" t="str">
        <x:v>Approved seed</x:v>
      </x:c>
      <x:c r="AB11" s="27" t="str">
        <x:v>No</x:v>
      </x:c>
      <x:c r="AC11" s="27" t="str">
        <x:v>Direct website verified from directory/source; customer ordering route requires additional account-level or site-specific verification.</x:v>
      </x:c>
    </x:row>
    <x:row r="12">
      <x:c r="A12" s="27" t="str">
        <x:v>amoje_industry</x:v>
      </x:c>
      <x:c r="B12" s="27" t="str">
        <x:v>Amoje Industry</x:v>
      </x:c>
      <x:c r="C12" s="27" t="str"/>
      <x:c r="D12" s="27" t="str">
        <x:v>Direct foodservice distributor</x:v>
      </x:c>
      <x:c r="E12" s="27" t="str">
        <x:v>Foodservice / hospitality supply</x:v>
      </x:c>
      <x:c r="F12" s="27" t="str">
        <x:v>Active</x:v>
      </x:c>
      <x:c r="G12" s="27" t="str"/>
      <x:c r="H12" s="27" t="str">
        <x:v>South Korea</x:v>
      </x:c>
      <x:c r="I12" s="27" t="str">
        <x:v>KR</x:v>
      </x:c>
      <x:c r="J12" s="27" t="str">
        <x:v>South Korea</x:v>
      </x:c>
      <x:c r="K12" s="27" t="str">
        <x:v>National</x:v>
      </x:c>
      <x:c r="L12" s="27" t="str"/>
      <x:c r="M12" s="27" t="str"/>
      <x:c r="N12" s="27" t="str"/>
      <x:c r="O12" s="27" t="str">
        <x:v>https://www.amojeind.com</x:v>
      </x:c>
      <x:c r="P12" s="27" t="str">
        <x:v>amojeind.com</x:v>
      </x:c>
      <x:c r="Q12" s="27" t="str"/>
      <x:c r="R12" s="27" t="str"/>
      <x:c r="S12" s="27" t="str">
        <x:v>Ordering portal not publicly verified</x:v>
      </x:c>
      <x:c r="T12" s="27" t="str"/>
      <x:c r="U12" s="27" t="str">
        <x:v>No public template located</x:v>
      </x:c>
      <x:c r="V12" s="27" t="str">
        <x:v>IFDA 2026</x:v>
      </x:c>
      <x:c r="W12" s="27" t="str">
        <x:v>https://ifdaonline.org/distributor-members/</x:v>
      </x:c>
      <x:c r="X12" s="27" t="str">
        <x:v>https://www.amojeind.com</x:v>
      </x:c>
      <x:c r="Y12" s="54" t="n">
        <x:v>46217</x:v>
      </x:c>
      <x:c r="Z12" s="27" t="str">
        <x:v>High</x:v>
      </x:c>
      <x:c r="AA12" s="27" t="str">
        <x:v>Approved seed</x:v>
      </x:c>
      <x:c r="AB12" s="27" t="str">
        <x:v>Yes</x:v>
      </x:c>
      <x:c r="AC12" s="27" t="str">
        <x:v>Current international IFDA distributor member; geography should be normalized by province/country during future expansion.</x:v>
      </x:c>
    </x:row>
    <x:row r="13">
      <x:c r="A13" s="27" t="str">
        <x:v>cj_freshway</x:v>
      </x:c>
      <x:c r="B13" s="27" t="str">
        <x:v>CJ Freshway</x:v>
      </x:c>
      <x:c r="C13" s="27" t="str"/>
      <x:c r="D13" s="27" t="str">
        <x:v>Direct foodservice distributor</x:v>
      </x:c>
      <x:c r="E13" s="27" t="str">
        <x:v>Food material distribution / contract foodservice</x:v>
      </x:c>
      <x:c r="F13" s="27" t="str">
        <x:v>Active</x:v>
      </x:c>
      <x:c r="G13" s="27" t="str"/>
      <x:c r="H13" s="27" t="str">
        <x:v>South Korea</x:v>
      </x:c>
      <x:c r="I13" s="27" t="str">
        <x:v>KR</x:v>
      </x:c>
      <x:c r="J13" s="27" t="str">
        <x:v>South Korea</x:v>
      </x:c>
      <x:c r="K13" s="27" t="str">
        <x:v>National / international</x:v>
      </x:c>
      <x:c r="L13" s="27" t="str">
        <x:v>South Korea</x:v>
      </x:c>
      <x:c r="M13" s="27" t="str"/>
      <x:c r="N13" s="27" t="str"/>
      <x:c r="O13" s="27" t="str">
        <x:v>https://www.cjfreshway.com</x:v>
      </x:c>
      <x:c r="P13" s="27" t="str">
        <x:v>cjfreshway.com</x:v>
      </x:c>
      <x:c r="Q13" s="27" t="str"/>
      <x:c r="R13" s="27" t="str"/>
      <x:c r="S13" s="27" t="str">
        <x:v>Ordering portal not publicly verified</x:v>
      </x:c>
      <x:c r="T13" s="27" t="str"/>
      <x:c r="U13" s="27" t="str">
        <x:v>No public template located</x:v>
      </x:c>
      <x:c r="V13" s="27" t="str">
        <x:v>IFDA 2026</x:v>
      </x:c>
      <x:c r="W13" s="27" t="str">
        <x:v>https://ifdaonline.org/distributor-members/</x:v>
      </x:c>
      <x:c r="X13" s="27" t="str">
        <x:v>https://www.cjfreshway.com</x:v>
      </x:c>
      <x:c r="Y13" s="54" t="n">
        <x:v>46217</x:v>
      </x:c>
      <x:c r="Z13" s="27" t="str">
        <x:v>High</x:v>
      </x:c>
      <x:c r="AA13" s="27" t="str">
        <x:v>Approved seed</x:v>
      </x:c>
      <x:c r="AB13" s="27" t="str">
        <x:v>Yes</x:v>
      </x:c>
      <x:c r="AC13" s="27" t="str">
        <x:v>Current international IFDA distributor member; geography should be normalized by province/country during future expansion.</x:v>
      </x:c>
    </x:row>
    <x:row r="14">
      <x:c r="A14" s="27" t="str">
        <x:v>daesang_bestco</x:v>
      </x:c>
      <x:c r="B14" s="27" t="str">
        <x:v>Daesang BestCo</x:v>
      </x:c>
      <x:c r="C14" s="27" t="str"/>
      <x:c r="D14" s="27" t="str">
        <x:v>Direct foodservice distributor</x:v>
      </x:c>
      <x:c r="E14" s="27" t="str">
        <x:v>Foodservice distribution</x:v>
      </x:c>
      <x:c r="F14" s="27" t="str">
        <x:v>Active</x:v>
      </x:c>
      <x:c r="G14" s="27" t="str"/>
      <x:c r="H14" s="27" t="str">
        <x:v>South Korea</x:v>
      </x:c>
      <x:c r="I14" s="27" t="str">
        <x:v>KR</x:v>
      </x:c>
      <x:c r="J14" s="27" t="str">
        <x:v>South Korea</x:v>
      </x:c>
      <x:c r="K14" s="27" t="str">
        <x:v>National</x:v>
      </x:c>
      <x:c r="L14" s="27" t="str">
        <x:v>South Korea</x:v>
      </x:c>
      <x:c r="M14" s="27" t="str"/>
      <x:c r="N14" s="27" t="str"/>
      <x:c r="O14" s="27" t="str">
        <x:v>https://www.edaesang.com</x:v>
      </x:c>
      <x:c r="P14" s="27" t="str">
        <x:v>edaesang.com</x:v>
      </x:c>
      <x:c r="Q14" s="27" t="str"/>
      <x:c r="R14" s="27" t="str"/>
      <x:c r="S14" s="27" t="str">
        <x:v>Ordering portal not publicly verified</x:v>
      </x:c>
      <x:c r="T14" s="27" t="str"/>
      <x:c r="U14" s="27" t="str">
        <x:v>No public template located</x:v>
      </x:c>
      <x:c r="V14" s="27" t="str">
        <x:v>IFDA 2026</x:v>
      </x:c>
      <x:c r="W14" s="27" t="str">
        <x:v>https://ifdaonline.org/distributor-members/</x:v>
      </x:c>
      <x:c r="X14" s="27" t="str">
        <x:v>https://www.edaesang.com</x:v>
      </x:c>
      <x:c r="Y14" s="54" t="n">
        <x:v>46217</x:v>
      </x:c>
      <x:c r="Z14" s="27" t="str">
        <x:v>High</x:v>
      </x:c>
      <x:c r="AA14" s="27" t="str">
        <x:v>Approved seed</x:v>
      </x:c>
      <x:c r="AB14" s="27" t="str">
        <x:v>Yes</x:v>
      </x:c>
      <x:c r="AC14" s="27" t="str">
        <x:v>Current international IFDA distributor member; geography should be normalized by province/country during future expansion.</x:v>
      </x:c>
    </x:row>
    <x:row r="15">
      <x:c r="A15" s="27" t="str">
        <x:v>foodmerce_co_ltd</x:v>
      </x:c>
      <x:c r="B15" s="27" t="str">
        <x:v>FOODMERCE Co., LTD</x:v>
      </x:c>
      <x:c r="C15" s="27" t="str"/>
      <x:c r="D15" s="27" t="str">
        <x:v>Direct foodservice distributor</x:v>
      </x:c>
      <x:c r="E15" s="27" t="str">
        <x:v>Foodservice distribution</x:v>
      </x:c>
      <x:c r="F15" s="27" t="str">
        <x:v>Active</x:v>
      </x:c>
      <x:c r="G15" s="27" t="str"/>
      <x:c r="H15" s="27" t="str">
        <x:v>South Korea</x:v>
      </x:c>
      <x:c r="I15" s="27" t="str">
        <x:v>KR</x:v>
      </x:c>
      <x:c r="J15" s="27" t="str">
        <x:v>South Korea</x:v>
      </x:c>
      <x:c r="K15" s="27" t="str">
        <x:v>National</x:v>
      </x:c>
      <x:c r="L15" s="27" t="str">
        <x:v>South Korea</x:v>
      </x:c>
      <x:c r="M15" s="27" t="str"/>
      <x:c r="N15" s="27" t="str"/>
      <x:c r="O15" s="27" t="str">
        <x:v>https://www.foodmerce.com</x:v>
      </x:c>
      <x:c r="P15" s="27" t="str">
        <x:v>foodmerce.com</x:v>
      </x:c>
      <x:c r="Q15" s="27" t="str"/>
      <x:c r="R15" s="27" t="str"/>
      <x:c r="S15" s="27" t="str">
        <x:v>Ordering portal not publicly verified</x:v>
      </x:c>
      <x:c r="T15" s="27" t="str"/>
      <x:c r="U15" s="27" t="str">
        <x:v>No public template located</x:v>
      </x:c>
      <x:c r="V15" s="27" t="str">
        <x:v>IFDA 2026</x:v>
      </x:c>
      <x:c r="W15" s="27" t="str">
        <x:v>https://ifdaonline.org/distributor-members/</x:v>
      </x:c>
      <x:c r="X15" s="27" t="str">
        <x:v>https://www.foodmerce.com</x:v>
      </x:c>
      <x:c r="Y15" s="54" t="n">
        <x:v>46217</x:v>
      </x:c>
      <x:c r="Z15" s="27" t="str">
        <x:v>High</x:v>
      </x:c>
      <x:c r="AA15" s="27" t="str">
        <x:v>Approved seed</x:v>
      </x:c>
      <x:c r="AB15" s="27" t="str">
        <x:v>Yes</x:v>
      </x:c>
      <x:c r="AC15" s="27" t="str">
        <x:v>Current international IFDA distributor member; geography should be normalized by province/country during future expansion.</x:v>
      </x:c>
    </x:row>
    <x:row r="16">
      <x:c r="A16" s="27" t="str">
        <x:v>gourmet_f_and_b_korea</x:v>
      </x:c>
      <x:c r="B16" s="27" t="str">
        <x:v>Gourmet F&amp;B Korea</x:v>
      </x:c>
      <x:c r="C16" s="27" t="str"/>
      <x:c r="D16" s="27" t="str">
        <x:v>Direct foodservice distributor</x:v>
      </x:c>
      <x:c r="E16" s="27" t="str">
        <x:v>Specialty food distribution</x:v>
      </x:c>
      <x:c r="F16" s="27" t="str">
        <x:v>Active</x:v>
      </x:c>
      <x:c r="G16" s="27" t="str"/>
      <x:c r="H16" s="27" t="str">
        <x:v>South Korea</x:v>
      </x:c>
      <x:c r="I16" s="27" t="str">
        <x:v>KR</x:v>
      </x:c>
      <x:c r="J16" s="27" t="str">
        <x:v>South Korea</x:v>
      </x:c>
      <x:c r="K16" s="27" t="str">
        <x:v>National</x:v>
      </x:c>
      <x:c r="L16" s="27" t="str">
        <x:v>South Korea</x:v>
      </x:c>
      <x:c r="M16" s="27" t="str"/>
      <x:c r="N16" s="27" t="str"/>
      <x:c r="O16" s="27" t="str">
        <x:v>https://gourmet.co.kr</x:v>
      </x:c>
      <x:c r="P16" s="27" t="str">
        <x:v>gourmet.co.kr</x:v>
      </x:c>
      <x:c r="Q16" s="27" t="str"/>
      <x:c r="R16" s="27" t="str"/>
      <x:c r="S16" s="27" t="str">
        <x:v>Ordering portal not publicly verified</x:v>
      </x:c>
      <x:c r="T16" s="27" t="str"/>
      <x:c r="U16" s="27" t="str">
        <x:v>No public template located</x:v>
      </x:c>
      <x:c r="V16" s="27" t="str">
        <x:v>IFDA 2026</x:v>
      </x:c>
      <x:c r="W16" s="27" t="str">
        <x:v>https://ifdaonline.org/distributor-members/</x:v>
      </x:c>
      <x:c r="X16" s="27" t="str">
        <x:v>https://gourmet.co.kr</x:v>
      </x:c>
      <x:c r="Y16" s="54" t="n">
        <x:v>46217</x:v>
      </x:c>
      <x:c r="Z16" s="27" t="str">
        <x:v>High</x:v>
      </x:c>
      <x:c r="AA16" s="27" t="str">
        <x:v>Approved seed</x:v>
      </x:c>
      <x:c r="AB16" s="27" t="str">
        <x:v>Yes</x:v>
      </x:c>
      <x:c r="AC16" s="27" t="str">
        <x:v>Current international IFDA distributor member; geography should be normalized by province/country during future expansion.</x:v>
      </x:c>
    </x:row>
    <x:row r="17">
      <x:c r="A17" s="27" t="str">
        <x:v>m_s_food_system</x:v>
      </x:c>
      <x:c r="B17" s="27" t="str">
        <x:v>M's Food System</x:v>
      </x:c>
      <x:c r="C17" s="27" t="str"/>
      <x:c r="D17" s="27" t="str">
        <x:v>Direct foodservice distributor</x:v>
      </x:c>
      <x:c r="E17" s="27" t="str">
        <x:v>Foodservice distribution</x:v>
      </x:c>
      <x:c r="F17" s="27" t="str">
        <x:v>Active</x:v>
      </x:c>
      <x:c r="G17" s="27" t="str"/>
      <x:c r="H17" s="27" t="str">
        <x:v>South Korea</x:v>
      </x:c>
      <x:c r="I17" s="27" t="str">
        <x:v>KR</x:v>
      </x:c>
      <x:c r="J17" s="27" t="str">
        <x:v>South Korea</x:v>
      </x:c>
      <x:c r="K17" s="27" t="str">
        <x:v>National</x:v>
      </x:c>
      <x:c r="L17" s="27" t="str">
        <x:v>South Korea</x:v>
      </x:c>
      <x:c r="M17" s="27" t="str"/>
      <x:c r="N17" s="27" t="str"/>
      <x:c r="O17" s="27" t="str">
        <x:v>https://www.maeil.com</x:v>
      </x:c>
      <x:c r="P17" s="27" t="str">
        <x:v>maeil.com</x:v>
      </x:c>
      <x:c r="Q17" s="27" t="str"/>
      <x:c r="R17" s="27" t="str"/>
      <x:c r="S17" s="27" t="str">
        <x:v>Ordering portal not publicly verified</x:v>
      </x:c>
      <x:c r="T17" s="27" t="str"/>
      <x:c r="U17" s="27" t="str">
        <x:v>No public template located</x:v>
      </x:c>
      <x:c r="V17" s="27" t="str">
        <x:v>IFDA 2026</x:v>
      </x:c>
      <x:c r="W17" s="27" t="str">
        <x:v>https://ifdaonline.org/distributor-members/</x:v>
      </x:c>
      <x:c r="X17" s="27" t="str">
        <x:v>https://www.maeil.com</x:v>
      </x:c>
      <x:c r="Y17" s="54" t="n">
        <x:v>46217</x:v>
      </x:c>
      <x:c r="Z17" s="27" t="str">
        <x:v>High</x:v>
      </x:c>
      <x:c r="AA17" s="27" t="str">
        <x:v>Approved seed</x:v>
      </x:c>
      <x:c r="AB17" s="27" t="str">
        <x:v>Yes</x:v>
      </x:c>
      <x:c r="AC17" s="27" t="str">
        <x:v>Current international IFDA distributor member; geography should be normalized by province/country during future expansion.</x:v>
      </x:c>
    </x:row>
    <x:row r="18">
      <x:c r="A18" s="27" t="str">
        <x:v>pulmuone_foodmerce</x:v>
      </x:c>
      <x:c r="B18" s="27" t="str">
        <x:v>Pulmuone Foodmerce</x:v>
      </x:c>
      <x:c r="C18" s="27" t="str"/>
      <x:c r="D18" s="27" t="str">
        <x:v>Direct foodservice distributor</x:v>
      </x:c>
      <x:c r="E18" s="27" t="str">
        <x:v>Foodservice distribution</x:v>
      </x:c>
      <x:c r="F18" s="27" t="str">
        <x:v>Active</x:v>
      </x:c>
      <x:c r="G18" s="27" t="str"/>
      <x:c r="H18" s="27" t="str">
        <x:v>South Korea</x:v>
      </x:c>
      <x:c r="I18" s="27" t="str">
        <x:v>KR</x:v>
      </x:c>
      <x:c r="J18" s="27" t="str">
        <x:v>South Korea</x:v>
      </x:c>
      <x:c r="K18" s="27" t="str">
        <x:v>National</x:v>
      </x:c>
      <x:c r="L18" s="27" t="str">
        <x:v>South Korea</x:v>
      </x:c>
      <x:c r="M18" s="27" t="str"/>
      <x:c r="N18" s="27" t="str"/>
      <x:c r="O18" s="27" t="str">
        <x:v>https://pulstory.pulmuone.com</x:v>
      </x:c>
      <x:c r="P18" s="27" t="str">
        <x:v>pulstory.pulmuone.com</x:v>
      </x:c>
      <x:c r="Q18" s="27" t="str"/>
      <x:c r="R18" s="27" t="str"/>
      <x:c r="S18" s="27" t="str">
        <x:v>Ordering portal not publicly verified</x:v>
      </x:c>
      <x:c r="T18" s="27" t="str"/>
      <x:c r="U18" s="27" t="str">
        <x:v>No public template located</x:v>
      </x:c>
      <x:c r="V18" s="27" t="str">
        <x:v>IFDA 2026</x:v>
      </x:c>
      <x:c r="W18" s="27" t="str">
        <x:v>https://ifdaonline.org/distributor-members/</x:v>
      </x:c>
      <x:c r="X18" s="27" t="str">
        <x:v>https://pulstory.pulmuone.com</x:v>
      </x:c>
      <x:c r="Y18" s="54" t="n">
        <x:v>46217</x:v>
      </x:c>
      <x:c r="Z18" s="27" t="str">
        <x:v>High</x:v>
      </x:c>
      <x:c r="AA18" s="27" t="str">
        <x:v>Approved seed</x:v>
      </x:c>
      <x:c r="AB18" s="27" t="str">
        <x:v>Yes</x:v>
      </x:c>
      <x:c r="AC18" s="27" t="str">
        <x:v>Current international IFDA distributor member; geography should be normalized by province/country during future expansion.</x:v>
      </x:c>
    </x:row>
    <x:row r="19">
      <x:c r="A19" s="27" t="str">
        <x:v>samsung_welstory</x:v>
      </x:c>
      <x:c r="B19" s="27" t="str">
        <x:v>Samsung Welstory</x:v>
      </x:c>
      <x:c r="C19" s="27" t="str"/>
      <x:c r="D19" s="27" t="str">
        <x:v>Direct foodservice distributor</x:v>
      </x:c>
      <x:c r="E19" s="27" t="str">
        <x:v>Food distribution / contract foodservice</x:v>
      </x:c>
      <x:c r="F19" s="27" t="str">
        <x:v>Active</x:v>
      </x:c>
      <x:c r="G19" s="27" t="str"/>
      <x:c r="H19" s="27" t="str">
        <x:v>South Korea</x:v>
      </x:c>
      <x:c r="I19" s="27" t="str">
        <x:v>KR</x:v>
      </x:c>
      <x:c r="J19" s="27" t="str">
        <x:v>South Korea</x:v>
      </x:c>
      <x:c r="K19" s="27" t="str">
        <x:v>National / international</x:v>
      </x:c>
      <x:c r="L19" s="27" t="str">
        <x:v>South Korea</x:v>
      </x:c>
      <x:c r="M19" s="27" t="str"/>
      <x:c r="N19" s="27" t="str"/>
      <x:c r="O19" s="27" t="str">
        <x:v>https://www.samsungwelstory.com</x:v>
      </x:c>
      <x:c r="P19" s="27" t="str">
        <x:v>samsungwelstory.com</x:v>
      </x:c>
      <x:c r="Q19" s="27" t="str"/>
      <x:c r="R19" s="27" t="str"/>
      <x:c r="S19" s="27" t="str">
        <x:v>Ordering portal not publicly verified</x:v>
      </x:c>
      <x:c r="T19" s="27" t="str"/>
      <x:c r="U19" s="27" t="str">
        <x:v>No public template located</x:v>
      </x:c>
      <x:c r="V19" s="27" t="str">
        <x:v>IFDA 2026</x:v>
      </x:c>
      <x:c r="W19" s="27" t="str">
        <x:v>https://ifdaonline.org/distributor-members/</x:v>
      </x:c>
      <x:c r="X19" s="27" t="str">
        <x:v>https://www.samsungwelstory.com</x:v>
      </x:c>
      <x:c r="Y19" s="54" t="n">
        <x:v>46217</x:v>
      </x:c>
      <x:c r="Z19" s="27" t="str">
        <x:v>High</x:v>
      </x:c>
      <x:c r="AA19" s="27" t="str">
        <x:v>Approved seed</x:v>
      </x:c>
      <x:c r="AB19" s="27" t="str">
        <x:v>Yes</x:v>
      </x:c>
      <x:c r="AC19" s="27" t="str">
        <x:v>Current international IFDA distributor member; geography should be normalized by province/country during future expansion.</x:v>
      </x:c>
    </x:row>
    <x:row r="20">
      <x:c r="A20" s="27" t="str">
        <x:v>samyang_corp</x:v>
      </x:c>
      <x:c r="B20" s="27" t="str">
        <x:v>Samyang Corp.</x:v>
      </x:c>
      <x:c r="C20" s="27" t="str"/>
      <x:c r="D20" s="27" t="str">
        <x:v>Direct foodservice distributor</x:v>
      </x:c>
      <x:c r="E20" s="27" t="str">
        <x:v>Food ingredients / foodservice</x:v>
      </x:c>
      <x:c r="F20" s="27" t="str">
        <x:v>Active</x:v>
      </x:c>
      <x:c r="G20" s="27" t="str"/>
      <x:c r="H20" s="27" t="str">
        <x:v>South Korea</x:v>
      </x:c>
      <x:c r="I20" s="27" t="str">
        <x:v>KR</x:v>
      </x:c>
      <x:c r="J20" s="27" t="str">
        <x:v>South Korea</x:v>
      </x:c>
      <x:c r="K20" s="27" t="str">
        <x:v>National / international</x:v>
      </x:c>
      <x:c r="L20" s="27" t="str">
        <x:v>South Korea</x:v>
      </x:c>
      <x:c r="M20" s="27" t="str"/>
      <x:c r="N20" s="27" t="str"/>
      <x:c r="O20" s="27" t="str">
        <x:v>https://www.samyangcorp.com</x:v>
      </x:c>
      <x:c r="P20" s="27" t="str">
        <x:v>samyangcorp.com</x:v>
      </x:c>
      <x:c r="Q20" s="27" t="str"/>
      <x:c r="R20" s="27" t="str"/>
      <x:c r="S20" s="27" t="str">
        <x:v>Ordering portal not publicly verified</x:v>
      </x:c>
      <x:c r="T20" s="27" t="str"/>
      <x:c r="U20" s="27" t="str">
        <x:v>No public template located</x:v>
      </x:c>
      <x:c r="V20" s="27" t="str">
        <x:v>IFDA 2026</x:v>
      </x:c>
      <x:c r="W20" s="27" t="str">
        <x:v>https://ifdaonline.org/distributor-members/</x:v>
      </x:c>
      <x:c r="X20" s="27" t="str">
        <x:v>https://www.samyangcorp.com</x:v>
      </x:c>
      <x:c r="Y20" s="54" t="n">
        <x:v>46217</x:v>
      </x:c>
      <x:c r="Z20" s="27" t="str">
        <x:v>High</x:v>
      </x:c>
      <x:c r="AA20" s="27" t="str">
        <x:v>Approved seed</x:v>
      </x:c>
      <x:c r="AB20" s="27" t="str">
        <x:v>Yes</x:v>
      </x:c>
      <x:c r="AC20" s="27" t="str">
        <x:v>Current international IFDA distributor member; geography should be normalized by province/country during future expansion.</x:v>
      </x:c>
    </x:row>
    <x:row r="21">
      <x:c r="A21" s="27" t="str">
        <x:v>taekyung_nongsan</x:v>
      </x:c>
      <x:c r="B21" s="27" t="str">
        <x:v>Taekyung Nongsan</x:v>
      </x:c>
      <x:c r="C21" s="27" t="str"/>
      <x:c r="D21" s="27" t="str">
        <x:v>Direct foodservice distributor</x:v>
      </x:c>
      <x:c r="E21" s="27" t="str">
        <x:v>Food ingredients / distribution</x:v>
      </x:c>
      <x:c r="F21" s="27" t="str">
        <x:v>Active</x:v>
      </x:c>
      <x:c r="G21" s="27" t="str"/>
      <x:c r="H21" s="27" t="str">
        <x:v>South Korea</x:v>
      </x:c>
      <x:c r="I21" s="27" t="str">
        <x:v>KR</x:v>
      </x:c>
      <x:c r="J21" s="27" t="str">
        <x:v>South Korea</x:v>
      </x:c>
      <x:c r="K21" s="27" t="str">
        <x:v>National / international</x:v>
      </x:c>
      <x:c r="L21" s="27" t="str">
        <x:v>South Korea</x:v>
      </x:c>
      <x:c r="M21" s="27" t="str"/>
      <x:c r="N21" s="27" t="str"/>
      <x:c r="O21" s="27" t="str">
        <x:v>https://www.itaekyung.com</x:v>
      </x:c>
      <x:c r="P21" s="27" t="str">
        <x:v>itaekyung.com</x:v>
      </x:c>
      <x:c r="Q21" s="27" t="str"/>
      <x:c r="R21" s="27" t="str"/>
      <x:c r="S21" s="27" t="str">
        <x:v>Ordering portal not publicly verified</x:v>
      </x:c>
      <x:c r="T21" s="27" t="str"/>
      <x:c r="U21" s="27" t="str">
        <x:v>No public template located</x:v>
      </x:c>
      <x:c r="V21" s="27" t="str">
        <x:v>IFDA 2026</x:v>
      </x:c>
      <x:c r="W21" s="27" t="str">
        <x:v>https://ifdaonline.org/distributor-members/</x:v>
      </x:c>
      <x:c r="X21" s="27" t="str">
        <x:v>https://www.itaekyung.com</x:v>
      </x:c>
      <x:c r="Y21" s="54" t="n">
        <x:v>46217</x:v>
      </x:c>
      <x:c r="Z21" s="27" t="str">
        <x:v>High</x:v>
      </x:c>
      <x:c r="AA21" s="27" t="str">
        <x:v>Approved seed</x:v>
      </x:c>
      <x:c r="AB21" s="27" t="str">
        <x:v>Yes</x:v>
      </x:c>
      <x:c r="AC21" s="27" t="str">
        <x:v>Current international IFDA distributor member; geography should be normalized by province/country during future expansion.</x:v>
      </x:c>
    </x:row>
    <x:row r="22">
      <x:c r="A22" s="27" t="str">
        <x:v>a_and_b_distributors</x:v>
      </x:c>
      <x:c r="B22" s="27" t="str">
        <x:v>A &amp; B Distributors</x:v>
      </x:c>
      <x:c r="C22" s="27" t="str"/>
      <x:c r="D22" s="27" t="str">
        <x:v>Direct foodservice distributor</x:v>
      </x:c>
      <x:c r="E22" s="27" t="str">
        <x:v>Foodservice distribution</x:v>
      </x:c>
      <x:c r="F22" s="27" t="str">
        <x:v>Active</x:v>
      </x:c>
      <x:c r="G22" s="27" t="str"/>
      <x:c r="H22" s="27" t="str">
        <x:v>United States</x:v>
      </x:c>
      <x:c r="I22" s="27" t="str">
        <x:v>US</x:v>
      </x:c>
      <x:c r="J22" s="27" t="str">
        <x:v>United States</x:v>
      </x:c>
      <x:c r="K22" s="27" t="str">
        <x:v>Regional / unverified</x:v>
      </x:c>
      <x:c r="L22" s="27" t="str"/>
      <x:c r="M22" s="27" t="str"/>
      <x:c r="N22" s="27" t="str">
        <x:v>Territory requires verification.</x:v>
      </x:c>
      <x:c r="O22" s="27" t="str"/>
      <x:c r="P22" s="27" t="str"/>
      <x:c r="Q22" s="27" t="str"/>
      <x:c r="R22" s="27" t="str"/>
      <x:c r="S22" s="27" t="str">
        <x:v>Ordering portal not publicly verified</x:v>
      </x:c>
      <x:c r="T22" s="27" t="str"/>
      <x:c r="U22" s="27" t="str">
        <x:v>No public template located</x:v>
      </x:c>
      <x:c r="V22" s="27" t="str">
        <x:v>Frosty Acres 2025–2026 member</x:v>
      </x:c>
      <x:c r="W22" s="27" t="str">
        <x:v>https://www.frostyacres.com/news/4ac8e499-0d33-44d7-adb2-9215a66668ad</x:v>
      </x:c>
      <x:c r="X22" s="27" t="str">
        <x:v>https://www.frostyacres.com/news/4ac8e499-0d33-44d7-adb2-9215a66668ad</x:v>
      </x:c>
      <x:c r="Y22" s="54" t="n">
        <x:v>46217</x:v>
      </x:c>
      <x:c r="Z22" s="27" t="str">
        <x:v>Low</x:v>
      </x:c>
      <x:c r="AA22" s="27" t="str">
        <x:v>Review before seed</x:v>
      </x:c>
      <x:c r="AB22" s="27" t="str">
        <x:v>Yes</x:v>
      </x:c>
      <x:c r="AC22" s="27" t="str"/>
    </x:row>
    <x:row r="23">
      <x:c r="A23" s="27" t="str">
        <x:v>a_f_wendling_s_food_service</x:v>
      </x:c>
      <x:c r="B23" s="27" t="str">
        <x:v>A.F. Wendling's Food Service</x:v>
      </x:c>
      <x:c r="C23" s="27" t="str"/>
      <x:c r="D23" s="27" t="str">
        <x:v>Direct foodservice distributor</x:v>
      </x:c>
      <x:c r="E23" s="27" t="str">
        <x:v>Broadline</x:v>
      </x:c>
      <x:c r="F23" s="27" t="str">
        <x:v>Active</x:v>
      </x:c>
      <x:c r="G23" s="27" t="str"/>
      <x:c r="H23" s="27" t="str">
        <x:v>United States</x:v>
      </x:c>
      <x:c r="I23" s="27" t="str">
        <x:v>US</x:v>
      </x:c>
      <x:c r="J23" s="27" t="str"/>
      <x:c r="K23" s="27" t="str">
        <x:v>Regional</x:v>
      </x:c>
      <x:c r="L23" s="27" t="str">
        <x:v>West Virginia, Virginia, Pennsylvania</x:v>
      </x:c>
      <x:c r="M23" s="27" t="str">
        <x:v>WV,VA,PA</x:v>
      </x:c>
      <x:c r="N23" s="27" t="str">
        <x:v>West Virginia, Virginia and western Pennsylvania; confirm neighboring-state ZIPs.</x:v>
      </x:c>
      <x:c r="O23" s="27" t="str">
        <x:v>https://www.afwendling.com</x:v>
      </x:c>
      <x:c r="P23" s="27" t="str">
        <x:v>afwendling.com</x:v>
      </x:c>
      <x:c r="Q23" s="27"/>
      <x:c r="R23" s="27" t="str"/>
      <x:c r="S23" s="27" t="str">
        <x:v>Ordering portal not publicly verified</x:v>
      </x:c>
      <x:c r="T23" s="27"/>
      <x:c r="U23" s="27" t="str">
        <x:v>No public template located in this pass</x:v>
      </x:c>
      <x:c r="V23" s="27" t="str">
        <x:v>IFDA 2026</x:v>
      </x:c>
      <x:c r="W23" s="27" t="str">
        <x:v>https://ifdaonline.org/distributor-members/</x:v>
      </x:c>
      <x:c r="X23" s="27" t="str">
        <x:v>https://www.afwendling.com</x:v>
      </x:c>
      <x:c r="Y23" s="54" t="n">
        <x:v>46217</x:v>
      </x:c>
      <x:c r="Z23" s="27" t="str">
        <x:v>High</x:v>
      </x:c>
      <x:c r="AA23" s="27" t="str">
        <x:v>Approved seed</x:v>
      </x:c>
      <x:c r="AB23" s="27" t="str">
        <x:v>No</x:v>
      </x:c>
      <x:c r="AC23" s="27" t="str">
        <x:v>Direct website verified from directory/source; customer ordering route requires additional account-level or site-specific verification.</x:v>
      </x:c>
    </x:row>
    <x:row r="24">
      <x:c r="A24" s="27" t="str">
        <x:v>ace_endico_corp</x:v>
      </x:c>
      <x:c r="B24" s="27" t="str">
        <x:v>Ace Endico Corp.</x:v>
      </x:c>
      <x:c r="C24" s="27" t="str"/>
      <x:c r="D24" s="27" t="str">
        <x:v>Direct foodservice distributor</x:v>
      </x:c>
      <x:c r="E24" s="27" t="str">
        <x:v>Italian / specialty broadline</x:v>
      </x:c>
      <x:c r="F24" s="27" t="str">
        <x:v>Active</x:v>
      </x:c>
      <x:c r="G24" s="27" t="str"/>
      <x:c r="H24" s="27" t="str">
        <x:v>United States</x:v>
      </x:c>
      <x:c r="I24" s="27" t="str">
        <x:v>US</x:v>
      </x:c>
      <x:c r="J24" s="27" t="str"/>
      <x:c r="K24" s="27" t="str">
        <x:v>Multi-regional</x:v>
      </x:c>
      <x:c r="L24" s="27" t="str">
        <x:v>Maine, New Hampshire, Vermont, Massachusetts, Rhode Island, Connecticut, New York, New Jersey, Pennsylvania</x:v>
      </x:c>
      <x:c r="M24" s="27" t="str">
        <x:v>ME,NH,VT,MA,RI,CT,NY,NJ,PA</x:v>
      </x:c>
      <x:c r="N24" s="27" t="str">
        <x:v>New England through the New York tri-state area and Philadelphia corridor.</x:v>
      </x:c>
      <x:c r="O24" s="27" t="str">
        <x:v>https://www.aceendico.com</x:v>
      </x:c>
      <x:c r="P24" s="27" t="str">
        <x:v>aceendico.com</x:v>
      </x:c>
      <x:c r="Q24" s="27"/>
      <x:c r="R24" s="27" t="str"/>
      <x:c r="S24" s="27" t="str">
        <x:v>Ordering portal not publicly verified</x:v>
      </x:c>
      <x:c r="T24" s="27"/>
      <x:c r="U24" s="27" t="str">
        <x:v>No public template located in this pass</x:v>
      </x:c>
      <x:c r="V24" s="27" t="str">
        <x:v>IFDA 2026</x:v>
      </x:c>
      <x:c r="W24" s="27" t="str">
        <x:v>https://ifdaonline.org/distributor-members/</x:v>
      </x:c>
      <x:c r="X24" s="27" t="str">
        <x:v>https://www.aceendico.com</x:v>
      </x:c>
      <x:c r="Y24" s="54" t="n">
        <x:v>46217</x:v>
      </x:c>
      <x:c r="Z24" s="27" t="str">
        <x:v>High</x:v>
      </x:c>
      <x:c r="AA24" s="27" t="str">
        <x:v>Approved seed</x:v>
      </x:c>
      <x:c r="AB24" s="27" t="str">
        <x:v>No</x:v>
      </x:c>
      <x:c r="AC24" s="27" t="str">
        <x:v>Direct website verified from directory/source; customer ordering route requires additional account-level or site-specific verification.</x:v>
      </x:c>
    </x:row>
    <x:row r="25">
      <x:c r="A25" s="27" t="str">
        <x:v>amcon_distributing_company</x:v>
      </x:c>
      <x:c r="B25" s="27" t="str">
        <x:v>AMCON Distributing Company</x:v>
      </x:c>
      <x:c r="C25" s="27" t="str"/>
      <x:c r="D25" s="27" t="str">
        <x:v>Direct foodservice distributor</x:v>
      </x:c>
      <x:c r="E25" s="27" t="str">
        <x:v>Convenience distribution</x:v>
      </x:c>
      <x:c r="F25" s="27" t="str">
        <x:v>Active</x:v>
      </x:c>
      <x:c r="G25" s="27" t="str"/>
      <x:c r="H25" s="27" t="str">
        <x:v>United States</x:v>
      </x:c>
      <x:c r="I25" s="27" t="str">
        <x:v>US</x:v>
      </x:c>
      <x:c r="J25" s="27" t="str"/>
      <x:c r="K25" s="27" t="str">
        <x:v>Multi-regional</x:v>
      </x:c>
      <x:c r="L25" s="27"/>
      <x:c r="M25" s="27"/>
      <x:c r="N25" s="27" t="str">
        <x:v>Multi-state convenience distribution; exact current customer territory should be validated by ZIP.</x:v>
      </x:c>
      <x:c r="O25" s="27" t="str">
        <x:v>https://www.amcon.com</x:v>
      </x:c>
      <x:c r="P25" s="27" t="str">
        <x:v>amcon.com</x:v>
      </x:c>
      <x:c r="Q25" s="27"/>
      <x:c r="R25" s="27" t="str"/>
      <x:c r="S25" s="27" t="str">
        <x:v>Ordering portal not publicly verified</x:v>
      </x:c>
      <x:c r="T25" s="27"/>
      <x:c r="U25" s="27" t="str">
        <x:v>No public template located in this pass</x:v>
      </x:c>
      <x:c r="V25" s="27" t="str">
        <x:v>IFDA 2026</x:v>
      </x:c>
      <x:c r="W25" s="27" t="str">
        <x:v>https://ifdaonline.org/distributor-members/</x:v>
      </x:c>
      <x:c r="X25" s="27" t="str">
        <x:v>https://www.amcon.com</x:v>
      </x:c>
      <x:c r="Y25" s="54" t="n">
        <x:v>46217</x:v>
      </x:c>
      <x:c r="Z25" s="27" t="str">
        <x:v>Low</x:v>
      </x:c>
      <x:c r="AA25" s="27" t="str">
        <x:v>Review before seed</x:v>
      </x:c>
      <x:c r="AB25" s="27" t="str">
        <x:v>No</x:v>
      </x:c>
      <x:c r="AC25" s="27" t="str">
        <x:v>Direct website verified from directory/source; customer ordering route requires additional account-level or site-specific verification.</x:v>
      </x:c>
    </x:row>
    <x:row r="26">
      <x:c r="A26" s="27" t="str">
        <x:v>atlas_wholesale_food_co</x:v>
      </x:c>
      <x:c r="B26" s="27" t="str">
        <x:v>Atlas Wholesale Food Co.</x:v>
      </x:c>
      <x:c r="C26" s="27" t="str"/>
      <x:c r="D26" s="27" t="str">
        <x:v>Direct foodservice distributor</x:v>
      </x:c>
      <x:c r="E26" s="27" t="str">
        <x:v>Broadline</x:v>
      </x:c>
      <x:c r="F26" s="27" t="str">
        <x:v>Active</x:v>
      </x:c>
      <x:c r="G26" s="27" t="str"/>
      <x:c r="H26" s="27" t="str">
        <x:v>United States</x:v>
      </x:c>
      <x:c r="I26" s="27" t="str">
        <x:v>US</x:v>
      </x:c>
      <x:c r="J26" s="27" t="str"/>
      <x:c r="K26" s="27" t="str">
        <x:v>Regional</x:v>
      </x:c>
      <x:c r="L26" s="27" t="str">
        <x:v>Michigan</x:v>
      </x:c>
      <x:c r="M26" s="27" t="str">
        <x:v>MI</x:v>
      </x:c>
      <x:c r="N26" s="27" t="str">
        <x:v>Michigan-centered foodservice distribution.</x:v>
      </x:c>
      <x:c r="O26" s="27" t="str">
        <x:v>https://www.atlaswholesale.com</x:v>
      </x:c>
      <x:c r="P26" s="27" t="str">
        <x:v>atlaswholesale.com</x:v>
      </x:c>
      <x:c r="Q26" s="27"/>
      <x:c r="R26" s="27" t="str"/>
      <x:c r="S26" s="27" t="str">
        <x:v>Ordering portal not publicly verified</x:v>
      </x:c>
      <x:c r="T26" s="27"/>
      <x:c r="U26" s="27" t="str">
        <x:v>No public template located in this pass</x:v>
      </x:c>
      <x:c r="V26" s="27" t="str">
        <x:v>IFDA 2026</x:v>
      </x:c>
      <x:c r="W26" s="27" t="str">
        <x:v>https://ifdaonline.org/distributor-members/</x:v>
      </x:c>
      <x:c r="X26" s="27" t="str">
        <x:v>https://www.atlaswholesale.com</x:v>
      </x:c>
      <x:c r="Y26" s="54" t="n">
        <x:v>46217</x:v>
      </x:c>
      <x:c r="Z26" s="27" t="str">
        <x:v>Low</x:v>
      </x:c>
      <x:c r="AA26" s="27" t="str">
        <x:v>Review before seed</x:v>
      </x:c>
      <x:c r="AB26" s="27" t="str">
        <x:v>No</x:v>
      </x:c>
      <x:c r="AC26" s="27" t="str">
        <x:v>Direct website verified from directory/source; customer ordering route requires additional account-level or site-specific verification.</x:v>
      </x:c>
    </x:row>
    <x:row r="27">
      <x:c r="A27" s="27" t="str">
        <x:v>avalon_foodservice_inc</x:v>
      </x:c>
      <x:c r="B27" s="27" t="str">
        <x:v>Avalon Foodservice, Inc.</x:v>
      </x:c>
      <x:c r="C27" s="27" t="str"/>
      <x:c r="D27" s="27" t="str">
        <x:v>Direct foodservice distributor</x:v>
      </x:c>
      <x:c r="E27" s="27" t="str">
        <x:v>Broadline</x:v>
      </x:c>
      <x:c r="F27" s="27" t="str">
        <x:v>Active</x:v>
      </x:c>
      <x:c r="G27" s="27" t="str"/>
      <x:c r="H27" s="27" t="str">
        <x:v>United States</x:v>
      </x:c>
      <x:c r="I27" s="27" t="str">
        <x:v>US</x:v>
      </x:c>
      <x:c r="J27" s="27" t="str"/>
      <x:c r="K27" s="27" t="str">
        <x:v>Regional</x:v>
      </x:c>
      <x:c r="L27" s="27" t="str">
        <x:v>Ohio, Pennsylvania, West Virginia</x:v>
      </x:c>
      <x:c r="M27" s="27" t="str">
        <x:v>OH,PA,WV</x:v>
      </x:c>
      <x:c r="N27" s="27" t="str">
        <x:v>Ohio-centered regional distributor; delivery boundaries vary by route.</x:v>
      </x:c>
      <x:c r="O27" s="27" t="str">
        <x:v>https://www.avalonfoods.com</x:v>
      </x:c>
      <x:c r="P27" s="27" t="str">
        <x:v>avalonfoods.com</x:v>
      </x:c>
      <x:c r="Q27" s="27"/>
      <x:c r="R27" s="27" t="str"/>
      <x:c r="S27" s="27" t="str">
        <x:v>Ordering portal not publicly verified</x:v>
      </x:c>
      <x:c r="T27" s="27"/>
      <x:c r="U27" s="27" t="str">
        <x:v>No public template located in this pass</x:v>
      </x:c>
      <x:c r="V27" s="27" t="str">
        <x:v>IFDA 2026</x:v>
      </x:c>
      <x:c r="W27" s="27" t="str">
        <x:v>https://ifdaonline.org/distributor-members/</x:v>
      </x:c>
      <x:c r="X27" s="27" t="str">
        <x:v>https://www.avalonfoods.com</x:v>
      </x:c>
      <x:c r="Y27" s="54" t="n">
        <x:v>46217</x:v>
      </x:c>
      <x:c r="Z27" s="27" t="str">
        <x:v>Medium</x:v>
      </x:c>
      <x:c r="AA27" s="27" t="str">
        <x:v>Approved seed</x:v>
      </x:c>
      <x:c r="AB27" s="27" t="str">
        <x:v>No</x:v>
      </x:c>
      <x:c r="AC27" s="27" t="str">
        <x:v>Direct website verified from directory/source; customer ordering route requires additional account-level or site-specific verification.</x:v>
      </x:c>
    </x:row>
    <x:row r="28">
      <x:c r="A28" s="27" t="str">
        <x:v>baily_foodservice</x:v>
      </x:c>
      <x:c r="B28" s="27" t="str">
        <x:v>Baily Foodservice</x:v>
      </x:c>
      <x:c r="C28" s="27" t="str"/>
      <x:c r="D28" s="27" t="str">
        <x:v>Direct foodservice distributor</x:v>
      </x:c>
      <x:c r="E28" s="27" t="str">
        <x:v>Broadline</x:v>
      </x:c>
      <x:c r="F28" s="27" t="str">
        <x:v>Active</x:v>
      </x:c>
      <x:c r="G28" s="27" t="str"/>
      <x:c r="H28" s="27" t="str">
        <x:v>United States</x:v>
      </x:c>
      <x:c r="I28" s="27" t="str">
        <x:v>US</x:v>
      </x:c>
      <x:c r="J28" s="27" t="str"/>
      <x:c r="K28" s="27" t="str">
        <x:v>Regional</x:v>
      </x:c>
      <x:c r="L28" s="27" t="str">
        <x:v>Georgia</x:v>
      </x:c>
      <x:c r="M28" s="27" t="str">
        <x:v>GA</x:v>
      </x:c>
      <x:c r="N28" s="27" t="str">
        <x:v>Atlanta / Georgia-centered foodservice distribution.</x:v>
      </x:c>
      <x:c r="O28" s="27" t="str">
        <x:v>https://www.bailyatl.com</x:v>
      </x:c>
      <x:c r="P28" s="27" t="str">
        <x:v>bailyatl.com</x:v>
      </x:c>
      <x:c r="Q28" s="27"/>
      <x:c r="R28" s="27" t="str"/>
      <x:c r="S28" s="27" t="str">
        <x:v>Ordering portal not publicly verified</x:v>
      </x:c>
      <x:c r="T28" s="27"/>
      <x:c r="U28" s="27" t="str">
        <x:v>No public template located in this pass</x:v>
      </x:c>
      <x:c r="V28" s="27" t="str">
        <x:v>IFDA 2026</x:v>
      </x:c>
      <x:c r="W28" s="27" t="str">
        <x:v>https://ifdaonline.org/distributor-members/</x:v>
      </x:c>
      <x:c r="X28" s="27" t="str">
        <x:v>https://www.bailyatl.com</x:v>
      </x:c>
      <x:c r="Y28" s="54" t="n">
        <x:v>46217</x:v>
      </x:c>
      <x:c r="Z28" s="27" t="str">
        <x:v>Low</x:v>
      </x:c>
      <x:c r="AA28" s="27" t="str">
        <x:v>Review before seed</x:v>
      </x:c>
      <x:c r="AB28" s="27" t="str">
        <x:v>No</x:v>
      </x:c>
      <x:c r="AC28" s="27" t="str">
        <x:v>Direct website verified from directory/source; customer ordering route requires additional account-level or site-specific verification.</x:v>
      </x:c>
    </x:row>
    <x:row r="29">
      <x:c r="A29" s="27" t="str">
        <x:v>baker_s_authority</x:v>
      </x:c>
      <x:c r="B29" s="27" t="str">
        <x:v>Baker's Authority</x:v>
      </x:c>
      <x:c r="C29" s="27" t="str"/>
      <x:c r="D29" s="27" t="str">
        <x:v>Online / e-commerce purveyor</x:v>
      </x:c>
      <x:c r="E29" s="27" t="str">
        <x:v>Bakery ingredients / online</x:v>
      </x:c>
      <x:c r="F29" s="27" t="str">
        <x:v>Active</x:v>
      </x:c>
      <x:c r="G29" s="27" t="str"/>
      <x:c r="H29" s="27" t="str">
        <x:v>United States</x:v>
      </x:c>
      <x:c r="I29" s="27" t="str">
        <x:v>US</x:v>
      </x:c>
      <x:c r="J29" s="27" t="str"/>
      <x:c r="K29" s="27" t="str">
        <x:v>Online nationwide</x:v>
      </x:c>
      <x:c r="L29" s="27"/>
      <x:c r="M29" s="27"/>
      <x:c r="N29" s="27" t="str">
        <x:v>Online bakery-ingredient ordering; freight and temperature requirements vary by ZIP.</x:v>
      </x:c>
      <x:c r="O29" s="27" t="str">
        <x:v>https://www.bakersauthority.com</x:v>
      </x:c>
      <x:c r="P29" s="27" t="str">
        <x:v>bakersauthority.com</x:v>
      </x:c>
      <x:c r="Q29" s="27"/>
      <x:c r="R29" s="27" t="str"/>
      <x:c r="S29" s="27" t="str">
        <x:v>Ordering portal not publicly verified</x:v>
      </x:c>
      <x:c r="T29" s="27"/>
      <x:c r="U29" s="27" t="str">
        <x:v>No public template located in this pass</x:v>
      </x:c>
      <x:c r="V29" s="27" t="str">
        <x:v>Supplemental research</x:v>
      </x:c>
      <x:c r="W29" s="27" t="str">
        <x:v>https://www.bakersauthority.com</x:v>
      </x:c>
      <x:c r="X29" s="27" t="str">
        <x:v>https://www.bakersauthority.com</x:v>
      </x:c>
      <x:c r="Y29" s="54" t="n">
        <x:v>46217</x:v>
      </x:c>
      <x:c r="Z29" s="27" t="str">
        <x:v>Medium</x:v>
      </x:c>
      <x:c r="AA29" s="27" t="str">
        <x:v>Approved seed</x:v>
      </x:c>
      <x:c r="AB29" s="27" t="str">
        <x:v>No</x:v>
      </x:c>
      <x:c r="AC29" s="27" t="str">
        <x:v>Direct website verified from directory/source; customer ordering route requires additional account-level or site-specific verification.</x:v>
      </x:c>
    </x:row>
    <x:row r="30">
      <x:c r="A30" s="27" t="str">
        <x:v>baldor_specialty_foods</x:v>
      </x:c>
      <x:c r="B30" s="27" t="str">
        <x:v>Baldor Specialty Foods</x:v>
      </x:c>
      <x:c r="C30" s="27" t="str"/>
      <x:c r="D30" s="27" t="str">
        <x:v>Direct foodservice distributor</x:v>
      </x:c>
      <x:c r="E30" s="27" t="str">
        <x:v>Produce / specialty</x:v>
      </x:c>
      <x:c r="F30" s="27" t="str">
        <x:v>Active</x:v>
      </x:c>
      <x:c r="G30" s="27" t="str"/>
      <x:c r="H30" s="27" t="str">
        <x:v>United States</x:v>
      </x:c>
      <x:c r="I30" s="27" t="str">
        <x:v>US</x:v>
      </x:c>
      <x:c r="J30" s="27" t="str"/>
      <x:c r="K30" s="27" t="str">
        <x:v>Multi-regional</x:v>
      </x:c>
      <x:c r="L30" s="27" t="str">
        <x:v>New York, New Jersey, Connecticut, Massachusetts, Rhode Island, Pennsylvania, Delaware, Maryland, District of Columbia, Virginia</x:v>
      </x:c>
      <x:c r="M30" s="27" t="str">
        <x:v>NY,NJ,CT,MA,RI,PA,DE,MD,DC,VA</x:v>
      </x:c>
      <x:c r="N30" s="27" t="str">
        <x:v>New York, Boston and Washington, D.C. hubs serving Northeast and Mid-Atlantic markets.</x:v>
      </x:c>
      <x:c r="O30" s="27" t="str">
        <x:v>https://www.baldorfood.com</x:v>
      </x:c>
      <x:c r="P30" s="27" t="str">
        <x:v>baldorfood.com</x:v>
      </x:c>
      <x:c r="Q30" s="27" t="str">
        <x:v>https://www.baldorfood.com/sign-in</x:v>
      </x:c>
      <x:c r="R30" s="27" t="str">
        <x:v>baldor_portal</x:v>
      </x:c>
      <x:c r="S30" s="27" t="str">
        <x:v>Verified direct customer portal</x:v>
      </x:c>
      <x:c r="T30" s="27"/>
      <x:c r="U30" s="27" t="str">
        <x:v>No public template found</x:v>
      </x:c>
      <x:c r="V30" s="27" t="str">
        <x:v>Supplemental research</x:v>
      </x:c>
      <x:c r="W30" s="27" t="str">
        <x:v>https://www.baldorfood.com/sign-in</x:v>
      </x:c>
      <x:c r="X30" s="27" t="str">
        <x:v>https://www.baldorfood.com/services</x:v>
      </x:c>
      <x:c r="Y30" s="54" t="n">
        <x:v>46217</x:v>
      </x:c>
      <x:c r="Z30" s="27" t="str">
        <x:v>High</x:v>
      </x:c>
      <x:c r="AA30" s="27" t="str">
        <x:v>Approved seed</x:v>
      </x:c>
      <x:c r="AB30" s="27" t="str">
        <x:v>No</x:v>
      </x:c>
      <x:c r="AC30" s="27" t="str">
        <x:v>Online catalog and ordering are integrated into Baldor's main website.</x:v>
      </x:c>
    </x:row>
    <x:row r="31">
      <x:c r="A31" s="27" t="str">
        <x:v>balford</x:v>
      </x:c>
      <x:c r="B31" s="27" t="str">
        <x:v>Balford</x:v>
      </x:c>
      <x:c r="C31" s="27" t="str"/>
      <x:c r="D31" s="27" t="str">
        <x:v>Direct foodservice distributor</x:v>
      </x:c>
      <x:c r="E31" s="27" t="str">
        <x:v>Dairy / foodservice</x:v>
      </x:c>
      <x:c r="F31" s="27" t="str">
        <x:v>Active</x:v>
      </x:c>
      <x:c r="G31" s="27" t="str"/>
      <x:c r="H31" s="27" t="str">
        <x:v>United States</x:v>
      </x:c>
      <x:c r="I31" s="27" t="str">
        <x:v>US</x:v>
      </x:c>
      <x:c r="J31" s="27" t="str"/>
      <x:c r="K31" s="27" t="str">
        <x:v>Regional</x:v>
      </x:c>
      <x:c r="L31" s="27" t="str">
        <x:v>Pennsylvania, New Jersey, Delaware, Maryland</x:v>
      </x:c>
      <x:c r="M31" s="27" t="str">
        <x:v>PA,NJ,DE,MD</x:v>
      </x:c>
      <x:c r="N31" s="27" t="str">
        <x:v>Mid-Atlantic dairy and foodservice distribution.</x:v>
      </x:c>
      <x:c r="O31" s="27" t="str">
        <x:v>https://www.balford.com</x:v>
      </x:c>
      <x:c r="P31" s="27" t="str">
        <x:v>balford.com</x:v>
      </x:c>
      <x:c r="Q31" s="27"/>
      <x:c r="R31" s="27" t="str"/>
      <x:c r="S31" s="27" t="str">
        <x:v>Ordering portal not publicly verified</x:v>
      </x:c>
      <x:c r="T31" s="27"/>
      <x:c r="U31" s="27" t="str">
        <x:v>No public template located in this pass</x:v>
      </x:c>
      <x:c r="V31" s="27" t="str">
        <x:v>IFDA 2026</x:v>
      </x:c>
      <x:c r="W31" s="27" t="str">
        <x:v>https://ifdaonline.org/distributor-members/</x:v>
      </x:c>
      <x:c r="X31" s="27" t="str">
        <x:v>https://www.balford.com</x:v>
      </x:c>
      <x:c r="Y31" s="54" t="n">
        <x:v>46217</x:v>
      </x:c>
      <x:c r="Z31" s="27" t="str">
        <x:v>Low</x:v>
      </x:c>
      <x:c r="AA31" s="27" t="str">
        <x:v>Review before seed</x:v>
      </x:c>
      <x:c r="AB31" s="27" t="str">
        <x:v>No</x:v>
      </x:c>
      <x:c r="AC31" s="27" t="str">
        <x:v>Direct website verified from directory/source; customer ordering route requires additional account-level or site-specific verification.</x:v>
      </x:c>
    </x:row>
    <x:row r="32">
      <x:c r="A32" s="27" t="str">
        <x:v>ben_e_keith_foods</x:v>
      </x:c>
      <x:c r="B32" s="27" t="str">
        <x:v>Ben E. Keith Foods</x:v>
      </x:c>
      <x:c r="C32" s="27" t="str"/>
      <x:c r="D32" s="27" t="str">
        <x:v>Direct foodservice distributor</x:v>
      </x:c>
      <x:c r="E32" s="27" t="str">
        <x:v>Broadline</x:v>
      </x:c>
      <x:c r="F32" s="27" t="str">
        <x:v>Active</x:v>
      </x:c>
      <x:c r="G32" s="27" t="str"/>
      <x:c r="H32" s="27" t="str">
        <x:v>United States</x:v>
      </x:c>
      <x:c r="I32" s="27" t="str">
        <x:v>US</x:v>
      </x:c>
      <x:c r="J32" s="27" t="str"/>
      <x:c r="K32" s="27" t="str">
        <x:v>Multi-regional</x:v>
      </x:c>
      <x:c r="L32" s="27" t="str">
        <x:v>Alabama, Arkansas, Arizona, Florida, Georgia, Kansas, Louisiana, Missouri, Mississippi, New Mexico, Oklahoma, South Carolina, Tennessee, Texas</x:v>
      </x:c>
      <x:c r="M32" s="27" t="str">
        <x:v>AL,AR,AZ,FL,GA,KS,LA,MO,MS,NM,OK,SC,TN,TX</x:v>
      </x:c>
      <x:c r="N32" s="27" t="str">
        <x:v>Large southern and southwestern footprint; some states are served only in defined portions.</x:v>
      </x:c>
      <x:c r="O32" s="27" t="str">
        <x:v>https://www.benekeith.com</x:v>
      </x:c>
      <x:c r="P32" s="27" t="str">
        <x:v>benekeith.com</x:v>
      </x:c>
      <x:c r="Q32" s="27" t="str">
        <x:v>https://www.bekentree.com/</x:v>
      </x:c>
      <x:c r="R32" s="27" t="str">
        <x:v>ben_e_keith_entree</x:v>
      </x:c>
      <x:c r="S32" s="27" t="str">
        <x:v>Verified direct customer portal (Entrée)</x:v>
      </x:c>
      <x:c r="T32" s="27" t="str">
        <x:v>https://costguard.zendesk.com/hc/en-us/articles/235436388-Sysco-GFS-PFG-Reinhart-USF-and-Ben-E-Keith-Order-Guides-Importing-and-Exporting</x:v>
      </x:c>
      <x:c r="U32" s="27" t="str">
        <x:v>Sample CSV order-guide format (third party)</x:v>
      </x:c>
      <x:c r="V32" s="27" t="str">
        <x:v>IFDA 2026</x:v>
      </x:c>
      <x:c r="W32" s="27" t="str">
        <x:v>https://www.benekeith.com/food/resources/online/entree-system/</x:v>
      </x:c>
      <x:c r="X32" s="27" t="str">
        <x:v>https://www.benekeith.com/food/locations/</x:v>
      </x:c>
      <x:c r="Y32" s="54" t="n">
        <x:v>46217</x:v>
      </x:c>
      <x:c r="Z32" s="27" t="str">
        <x:v>High</x:v>
      </x:c>
      <x:c r="AA32" s="27" t="str">
        <x:v>Approved seed</x:v>
      </x:c>
      <x:c r="AB32" s="27" t="str">
        <x:v>No</x:v>
      </x:c>
      <x:c r="AC32" s="27" t="str">
        <x:v>Entrée supports ordering, lists, invoices, inventory and delivery tracking.</x:v>
      </x:c>
    </x:row>
    <x:row r="33">
      <x:c r="A33" s="27" t="str">
        <x:v>birite_foodservice_distributors</x:v>
      </x:c>
      <x:c r="B33" s="27" t="str">
        <x:v>BiRite Foodservice Distributors</x:v>
      </x:c>
      <x:c r="C33" s="27" t="str"/>
      <x:c r="D33" s="27" t="str">
        <x:v>Direct foodservice distributor</x:v>
      </x:c>
      <x:c r="E33" s="27" t="str">
        <x:v>Broadline</x:v>
      </x:c>
      <x:c r="F33" s="27" t="str">
        <x:v>Active</x:v>
      </x:c>
      <x:c r="G33" s="27" t="str"/>
      <x:c r="H33" s="27" t="str">
        <x:v>United States</x:v>
      </x:c>
      <x:c r="I33" s="27" t="str">
        <x:v>US</x:v>
      </x:c>
      <x:c r="J33" s="27" t="str"/>
      <x:c r="K33" s="27" t="str">
        <x:v>Regional</x:v>
      </x:c>
      <x:c r="L33" s="27" t="str">
        <x:v>California</x:v>
      </x:c>
      <x:c r="M33" s="27" t="str">
        <x:v>CA</x:v>
      </x:c>
      <x:c r="N33" s="27" t="str">
        <x:v>Greater Bay Area and Northern California, approximately Cloverdale to Monterey.</x:v>
      </x:c>
      <x:c r="O33" s="27" t="str">
        <x:v>https://birite.com</x:v>
      </x:c>
      <x:c r="P33" s="27" t="str">
        <x:v>birite.com</x:v>
      </x:c>
      <x:c r="Q33" s="27"/>
      <x:c r="R33" s="27" t="str"/>
      <x:c r="S33" s="27" t="str">
        <x:v>Ordering portal not publicly verified</x:v>
      </x:c>
      <x:c r="T33" s="27"/>
      <x:c r="U33" s="27" t="str">
        <x:v>No public template located in this pass</x:v>
      </x:c>
      <x:c r="V33" s="27" t="str">
        <x:v>IFDA 2026</x:v>
      </x:c>
      <x:c r="W33" s="27" t="str">
        <x:v>https://ifdaonline.org/distributor-members/</x:v>
      </x:c>
      <x:c r="X33" s="27" t="str">
        <x:v>https://birite.com</x:v>
      </x:c>
      <x:c r="Y33" s="54" t="n">
        <x:v>46217</x:v>
      </x:c>
      <x:c r="Z33" s="27" t="str">
        <x:v>High</x:v>
      </x:c>
      <x:c r="AA33" s="27" t="str">
        <x:v>Approved seed</x:v>
      </x:c>
      <x:c r="AB33" s="27" t="str">
        <x:v>No</x:v>
      </x:c>
      <x:c r="AC33" s="27" t="str">
        <x:v>Direct website verified from directory/source; customer ordering route requires additional account-level or site-specific verification.</x:v>
      </x:c>
    </x:row>
    <x:row r="34">
      <x:c r="A34" s="27" t="str">
        <x:v>brown_foodservice_inc</x:v>
      </x:c>
      <x:c r="B34" s="27" t="str">
        <x:v>Brown Foodservice, Inc.</x:v>
      </x:c>
      <x:c r="C34" s="27" t="str"/>
      <x:c r="D34" s="27" t="str">
        <x:v>Direct foodservice distributor</x:v>
      </x:c>
      <x:c r="E34" s="27" t="str">
        <x:v>Broadline</x:v>
      </x:c>
      <x:c r="F34" s="27" t="str">
        <x:v>Active</x:v>
      </x:c>
      <x:c r="G34" s="27" t="str"/>
      <x:c r="H34" s="27" t="str">
        <x:v>United States</x:v>
      </x:c>
      <x:c r="I34" s="27" t="str">
        <x:v>US</x:v>
      </x:c>
      <x:c r="J34" s="27" t="str"/>
      <x:c r="K34" s="27" t="str">
        <x:v>Regional</x:v>
      </x:c>
      <x:c r="L34" s="27" t="str">
        <x:v>Kentucky, West Virginia, Ohio, Virginia, Tennessee, Indiana</x:v>
      </x:c>
      <x:c r="M34" s="27" t="str">
        <x:v>KY,WV,OH,VA,TN,IN</x:v>
      </x:c>
      <x:c r="N34" s="27" t="str">
        <x:v>Kentucky-centered regional footprint; company reports a multi-state service area.</x:v>
      </x:c>
      <x:c r="O34" s="27" t="str">
        <x:v>https://www.brownfoodservice.com</x:v>
      </x:c>
      <x:c r="P34" s="27" t="str">
        <x:v>brownfoodservice.com</x:v>
      </x:c>
      <x:c r="Q34" s="27"/>
      <x:c r="R34" s="27" t="str"/>
      <x:c r="S34" s="27" t="str">
        <x:v>Ordering portal not publicly verified</x:v>
      </x:c>
      <x:c r="T34" s="27"/>
      <x:c r="U34" s="27" t="str">
        <x:v>No public template located in this pass</x:v>
      </x:c>
      <x:c r="V34" s="27" t="str">
        <x:v>IFDA 2026</x:v>
      </x:c>
      <x:c r="W34" s="27" t="str">
        <x:v>https://ifdaonline.org/distributor-members/</x:v>
      </x:c>
      <x:c r="X34" s="27" t="str">
        <x:v>https://www.brownfoodservice.com</x:v>
      </x:c>
      <x:c r="Y34" s="54" t="n">
        <x:v>46217</x:v>
      </x:c>
      <x:c r="Z34" s="27" t="str">
        <x:v>Low</x:v>
      </x:c>
      <x:c r="AA34" s="27" t="str">
        <x:v>Review before seed</x:v>
      </x:c>
      <x:c r="AB34" s="27" t="str">
        <x:v>No</x:v>
      </x:c>
      <x:c r="AC34" s="27" t="str">
        <x:v>Direct website verified from directory/source; customer ordering route requires additional account-level or site-specific verification.</x:v>
      </x:c>
    </x:row>
    <x:row r="35">
      <x:c r="A35" s="27" t="str">
        <x:v>burlington_distributing_company</x:v>
      </x:c>
      <x:c r="B35" s="27" t="str">
        <x:v>Burlington Distributing Company</x:v>
      </x:c>
      <x:c r="C35" s="27" t="str"/>
      <x:c r="D35" s="27" t="str">
        <x:v>Closed or contract supply system</x:v>
      </x:c>
      <x:c r="E35" s="27" t="str">
        <x:v>Closed-system / chain supply</x:v>
      </x:c>
      <x:c r="F35" s="27" t="str">
        <x:v>Active</x:v>
      </x:c>
      <x:c r="G35" s="27" t="str"/>
      <x:c r="H35" s="27" t="str">
        <x:v>United States</x:v>
      </x:c>
      <x:c r="I35" s="27" t="str">
        <x:v>US</x:v>
      </x:c>
      <x:c r="J35" s="27" t="str"/>
      <x:c r="K35" s="27" t="str">
        <x:v>Closed system</x:v>
      </x:c>
      <x:c r="L35" s="27"/>
      <x:c r="M35" s="27"/>
      <x:c r="N35" s="27" t="str">
        <x:v>Biscuitville-related supply operation; not a general independent-restaurant purveyor.</x:v>
      </x:c>
      <x:c r="O35" s="27" t="str">
        <x:v>https://biscuitville.com</x:v>
      </x:c>
      <x:c r="P35" s="27" t="str">
        <x:v>biscuitville.com</x:v>
      </x:c>
      <x:c r="Q35" s="27"/>
      <x:c r="R35" s="27" t="str"/>
      <x:c r="S35" s="27" t="str">
        <x:v>Closed or franchise/system-specific ordering</x:v>
      </x:c>
      <x:c r="T35" s="27"/>
      <x:c r="U35" s="27" t="str">
        <x:v>No public template located in this pass</x:v>
      </x:c>
      <x:c r="V35" s="27" t="str">
        <x:v>IFDA 2026</x:v>
      </x:c>
      <x:c r="W35" s="27" t="str">
        <x:v>https://ifdaonline.org/distributor-members/</x:v>
      </x:c>
      <x:c r="X35" s="27" t="str">
        <x:v>https://biscuitville.com</x:v>
      </x:c>
      <x:c r="Y35" s="54" t="n">
        <x:v>46217</x:v>
      </x:c>
      <x:c r="Z35" s="27" t="str">
        <x:v>High</x:v>
      </x:c>
      <x:c r="AA35" s="27" t="str">
        <x:v>Reference only</x:v>
      </x:c>
      <x:c r="AB35" s="27" t="str">
        <x:v>No</x:v>
      </x:c>
      <x:c r="AC35" s="27" t="str">
        <x:v>Direct website verified from directory/source; customer ordering route requires additional account-level or site-specific verification.</x:v>
      </x:c>
    </x:row>
    <x:row r="36">
      <x:c r="A36" s="27" t="str">
        <x:v>c_and_s_wholesale_grocers</x:v>
      </x:c>
      <x:c r="B36" s="27" t="str">
        <x:v>C&amp;S Wholesale Grocers</x:v>
      </x:c>
      <x:c r="C36" s="27" t="str"/>
      <x:c r="D36" s="27" t="str">
        <x:v>Direct foodservice distributor</x:v>
      </x:c>
      <x:c r="E36" s="27" t="str">
        <x:v>Grocery wholesale</x:v>
      </x:c>
      <x:c r="F36" s="27" t="str">
        <x:v>Active</x:v>
      </x:c>
      <x:c r="G36" s="27" t="str"/>
      <x:c r="H36" s="27" t="str">
        <x:v>United States</x:v>
      </x:c>
      <x:c r="I36" s="27" t="str">
        <x:v>US</x:v>
      </x:c>
      <x:c r="J36" s="27" t="str"/>
      <x:c r="K36" s="27" t="str">
        <x:v>National</x:v>
      </x:c>
      <x:c r="L36" s="27"/>
      <x:c r="M36" s="27"/>
      <x:c r="N36" s="27" t="str">
        <x:v>National grocery wholesale and supply-chain network; customer eligibility varies.</x:v>
      </x:c>
      <x:c r="O36" s="27" t="str">
        <x:v>https://www.cswg.com</x:v>
      </x:c>
      <x:c r="P36" s="27" t="str">
        <x:v>cswg.com</x:v>
      </x:c>
      <x:c r="Q36" s="27"/>
      <x:c r="R36" s="27" t="str"/>
      <x:c r="S36" s="27" t="str">
        <x:v>Ordering portal not publicly verified</x:v>
      </x:c>
      <x:c r="T36" s="27"/>
      <x:c r="U36" s="27" t="str">
        <x:v>No public template located in this pass</x:v>
      </x:c>
      <x:c r="V36" s="27" t="str">
        <x:v>Supplemental research</x:v>
      </x:c>
      <x:c r="W36" s="27" t="str">
        <x:v>https://www.cswg.com</x:v>
      </x:c>
      <x:c r="X36" s="27" t="str">
        <x:v>https://www.cswg.com</x:v>
      </x:c>
      <x:c r="Y36" s="54" t="n">
        <x:v>46217</x:v>
      </x:c>
      <x:c r="Z36" s="27" t="str">
        <x:v>High</x:v>
      </x:c>
      <x:c r="AA36" s="27" t="str">
        <x:v>Approved seed</x:v>
      </x:c>
      <x:c r="AB36" s="27" t="str">
        <x:v>No</x:v>
      </x:c>
      <x:c r="AC36" s="27" t="str">
        <x:v>Direct website verified from directory/source; customer ordering route requires additional account-level or site-specific verification.</x:v>
      </x:c>
    </x:row>
    <x:row r="37">
      <x:c r="A37" s="27" t="str">
        <x:v>capitol_distributing</x:v>
      </x:c>
      <x:c r="B37" s="27" t="str">
        <x:v>Capitol Distributing</x:v>
      </x:c>
      <x:c r="C37" s="27" t="str"/>
      <x:c r="D37" s="27" t="str">
        <x:v>Direct foodservice distributor</x:v>
      </x:c>
      <x:c r="E37" s="27" t="str">
        <x:v>Convenience / foodservice</x:v>
      </x:c>
      <x:c r="F37" s="27" t="str">
        <x:v>Active</x:v>
      </x:c>
      <x:c r="G37" s="27" t="str"/>
      <x:c r="H37" s="27" t="str">
        <x:v>United States</x:v>
      </x:c>
      <x:c r="I37" s="27" t="str">
        <x:v>US</x:v>
      </x:c>
      <x:c r="J37" s="27" t="str"/>
      <x:c r="K37" s="27" t="str">
        <x:v>Regional</x:v>
      </x:c>
      <x:c r="L37" s="27" t="str">
        <x:v>Idaho, Oregon, Washington, Utah, Montana, Nevada</x:v>
      </x:c>
      <x:c r="M37" s="27" t="str">
        <x:v>ID,OR,WA,UT,MT,NV</x:v>
      </x:c>
      <x:c r="N37" s="27" t="str">
        <x:v>Boise-centered convenience and foodservice distribution.</x:v>
      </x:c>
      <x:c r="O37" s="27" t="str">
        <x:v>https://capitoldist.com</x:v>
      </x:c>
      <x:c r="P37" s="27" t="str">
        <x:v>capitoldist.com</x:v>
      </x:c>
      <x:c r="Q37" s="27"/>
      <x:c r="R37" s="27" t="str"/>
      <x:c r="S37" s="27" t="str">
        <x:v>Ordering portal not publicly verified</x:v>
      </x:c>
      <x:c r="T37" s="27"/>
      <x:c r="U37" s="27" t="str">
        <x:v>No public template located in this pass</x:v>
      </x:c>
      <x:c r="V37" s="27" t="str">
        <x:v>IFDA 2026</x:v>
      </x:c>
      <x:c r="W37" s="27" t="str">
        <x:v>https://ifdaonline.org/distributor-members/</x:v>
      </x:c>
      <x:c r="X37" s="27" t="str">
        <x:v>https://capitoldist.com</x:v>
      </x:c>
      <x:c r="Y37" s="54" t="n">
        <x:v>46217</x:v>
      </x:c>
      <x:c r="Z37" s="27" t="str">
        <x:v>Low</x:v>
      </x:c>
      <x:c r="AA37" s="27" t="str">
        <x:v>Review before seed</x:v>
      </x:c>
      <x:c r="AB37" s="27" t="str">
        <x:v>No</x:v>
      </x:c>
      <x:c r="AC37" s="27" t="str">
        <x:v>Direct website verified from directory/source; customer ordering route requires additional account-level or site-specific verification.</x:v>
      </x:c>
    </x:row>
    <x:row r="38">
      <x:c r="A38" s="27" t="str">
        <x:v>carlo_masi_sons_and_daughter</x:v>
      </x:c>
      <x:c r="B38" s="27" t="str">
        <x:v>Carlo Masi Sons and Daughter</x:v>
      </x:c>
      <x:c r="C38" s="27" t="str"/>
      <x:c r="D38" s="27" t="str">
        <x:v>Direct foodservice distributor</x:v>
      </x:c>
      <x:c r="E38" s="27" t="str">
        <x:v>Italian and specialty food distribution</x:v>
      </x:c>
      <x:c r="F38" s="27" t="str">
        <x:v>Active</x:v>
      </x:c>
      <x:c r="G38" s="27" t="str"/>
      <x:c r="H38" s="27" t="str">
        <x:v>United States</x:v>
      </x:c>
      <x:c r="I38" s="27" t="str">
        <x:v>US</x:v>
      </x:c>
      <x:c r="J38" s="27" t="str">
        <x:v>Northeast United States</x:v>
      </x:c>
      <x:c r="K38" s="27" t="str">
        <x:v>Regional / unverified</x:v>
      </x:c>
      <x:c r="L38" s="27" t="str"/>
      <x:c r="M38" s="27" t="str"/>
      <x:c r="N38" s="27" t="str">
        <x:v>Northeast specialty distribution; exact territory requires verification.</x:v>
      </x:c>
      <x:c r="O38" s="27" t="str"/>
      <x:c r="P38" s="27" t="str"/>
      <x:c r="Q38" s="27" t="str"/>
      <x:c r="R38" s="27" t="str"/>
      <x:c r="S38" s="27" t="str">
        <x:v>Ordering portal not publicly verified</x:v>
      </x:c>
      <x:c r="T38" s="27" t="str"/>
      <x:c r="U38" s="27" t="str">
        <x:v>No public template located</x:v>
      </x:c>
      <x:c r="V38" s="27" t="str">
        <x:v>Golbon current/recent member</x:v>
      </x:c>
      <x:c r="W38" s="27" t="str">
        <x:v>https://golbon.com/press/</x:v>
      </x:c>
      <x:c r="X38" s="27" t="str">
        <x:v>https://golbon.com/press/</x:v>
      </x:c>
      <x:c r="Y38" s="54" t="n">
        <x:v>46217</x:v>
      </x:c>
      <x:c r="Z38" s="27" t="str">
        <x:v>Low</x:v>
      </x:c>
      <x:c r="AA38" s="27" t="str">
        <x:v>Review before seed</x:v>
      </x:c>
      <x:c r="AB38" s="27" t="str">
        <x:v>Yes</x:v>
      </x:c>
      <x:c r="AC38" s="27" t="str"/>
    </x:row>
    <x:row r="39">
      <x:c r="A39" s="27" t="str">
        <x:v>carolina_food_service_of_loris</x:v>
      </x:c>
      <x:c r="B39" s="27" t="str">
        <x:v>Carolina Food Service of Loris</x:v>
      </x:c>
      <x:c r="C39" s="27" t="str"/>
      <x:c r="D39" s="27" t="str">
        <x:v>Direct foodservice distributor</x:v>
      </x:c>
      <x:c r="E39" s="27" t="str">
        <x:v>Broadline</x:v>
      </x:c>
      <x:c r="F39" s="27" t="str">
        <x:v>Active</x:v>
      </x:c>
      <x:c r="G39" s="27" t="str"/>
      <x:c r="H39" s="27" t="str">
        <x:v>United States</x:v>
      </x:c>
      <x:c r="I39" s="27" t="str">
        <x:v>US</x:v>
      </x:c>
      <x:c r="J39" s="27" t="str"/>
      <x:c r="K39" s="27" t="str">
        <x:v>Regional</x:v>
      </x:c>
      <x:c r="L39" s="27" t="str">
        <x:v>North Carolina, South Carolina</x:v>
      </x:c>
      <x:c r="M39" s="27" t="str">
        <x:v>NC,SC</x:v>
      </x:c>
      <x:c r="N39" s="27" t="str">
        <x:v>Publishes statewide service in North Carolina and South Carolina.</x:v>
      </x:c>
      <x:c r="O39" s="27" t="str">
        <x:v>https://www.carolinafoodservice.com</x:v>
      </x:c>
      <x:c r="P39" s="27" t="str">
        <x:v>carolinafoodservice.com</x:v>
      </x:c>
      <x:c r="Q39" s="27"/>
      <x:c r="R39" s="27" t="str"/>
      <x:c r="S39" s="27" t="str">
        <x:v>Ordering portal not publicly verified</x:v>
      </x:c>
      <x:c r="T39" s="27"/>
      <x:c r="U39" s="27" t="str">
        <x:v>No public template located in this pass</x:v>
      </x:c>
      <x:c r="V39" s="27" t="str">
        <x:v>IFDA 2026</x:v>
      </x:c>
      <x:c r="W39" s="27" t="str">
        <x:v>https://ifdaonline.org/distributor-members/</x:v>
      </x:c>
      <x:c r="X39" s="27" t="str">
        <x:v>https://www.carolinafoodservice.com</x:v>
      </x:c>
      <x:c r="Y39" s="54" t="n">
        <x:v>46217</x:v>
      </x:c>
      <x:c r="Z39" s="27" t="str">
        <x:v>High</x:v>
      </x:c>
      <x:c r="AA39" s="27" t="str">
        <x:v>Approved seed</x:v>
      </x:c>
      <x:c r="AB39" s="27" t="str">
        <x:v>No</x:v>
      </x:c>
      <x:c r="AC39" s="27" t="str">
        <x:v>Direct website verified from directory/source; customer ordering route requires additional account-level or site-specific verification.</x:v>
      </x:c>
    </x:row>
    <x:row r="40">
      <x:c r="A40" s="27" t="str">
        <x:v>cash_wa_distributing</x:v>
      </x:c>
      <x:c r="B40" s="27" t="str">
        <x:v>Cash-Wa Distributing</x:v>
      </x:c>
      <x:c r="C40" s="27" t="str"/>
      <x:c r="D40" s="27" t="str">
        <x:v>Direct foodservice distributor</x:v>
      </x:c>
      <x:c r="E40" s="27" t="str">
        <x:v>Broadline</x:v>
      </x:c>
      <x:c r="F40" s="27" t="str">
        <x:v>Active</x:v>
      </x:c>
      <x:c r="G40" s="27" t="str"/>
      <x:c r="H40" s="27" t="str">
        <x:v>United States</x:v>
      </x:c>
      <x:c r="I40" s="27" t="str">
        <x:v>US</x:v>
      </x:c>
      <x:c r="J40" s="27" t="str"/>
      <x:c r="K40" s="27" t="str">
        <x:v>Multi-regional</x:v>
      </x:c>
      <x:c r="L40" s="27" t="str">
        <x:v>Nebraska, Colorado, Wyoming, Kansas, Oklahoma, Missouri, Iowa, Minnesota, South Dakota, North Dakota</x:v>
      </x:c>
      <x:c r="M40" s="27" t="str">
        <x:v>NE,CO,WY,KS,OK,MO,IA,MN,SD,ND</x:v>
      </x:c>
      <x:c r="N40" s="27" t="str">
        <x:v>Published ten-state footprint across the central United States.</x:v>
      </x:c>
      <x:c r="O40" s="27" t="str">
        <x:v>https://web.cashwa.com</x:v>
      </x:c>
      <x:c r="P40" s="27" t="str">
        <x:v>web.cashwa.com</x:v>
      </x:c>
      <x:c r="Q40" s="27" t="str">
        <x:v>https://portal2.ftnirdc.com/en/cswa</x:v>
      </x:c>
      <x:c r="R40" s="27" t="str"/>
      <x:c r="S40" s="27" t="str">
        <x:v>Verified direct customer portal</x:v>
      </x:c>
      <x:c r="T40" s="27"/>
      <x:c r="U40" s="27" t="str">
        <x:v>No public template found</x:v>
      </x:c>
      <x:c r="V40" s="27" t="str">
        <x:v>IFDA 2026</x:v>
      </x:c>
      <x:c r="W40" s="27" t="str">
        <x:v>https://web.cashwa.com/customer-portal</x:v>
      </x:c>
      <x:c r="X40" s="27" t="str">
        <x:v>https://web.cashwa.com</x:v>
      </x:c>
      <x:c r="Y40" s="54" t="n">
        <x:v>46217</x:v>
      </x:c>
      <x:c r="Z40" s="27" t="str">
        <x:v>High</x:v>
      </x:c>
      <x:c r="AA40" s="27" t="str">
        <x:v>Approved seed</x:v>
      </x:c>
      <x:c r="AB40" s="27" t="str">
        <x:v>No</x:v>
      </x:c>
      <x:c r="AC40" s="27" t="str">
        <x:v>Portal supports online orders, order guides and purchase-history reports.</x:v>
      </x:c>
    </x:row>
    <x:row r="41">
      <x:c r="A41" s="27" t="str">
        <x:v>cheney_brothers_inc</x:v>
      </x:c>
      <x:c r="B41" s="27" t="str">
        <x:v>Cheney Brothers, Inc.</x:v>
      </x:c>
      <x:c r="C41" s="27" t="str"/>
      <x:c r="D41" s="27" t="str">
        <x:v>Direct foodservice distributor</x:v>
      </x:c>
      <x:c r="E41" s="27" t="str">
        <x:v>Broadline</x:v>
      </x:c>
      <x:c r="F41" s="27" t="str">
        <x:v>Active subsidiary / operating brand</x:v>
      </x:c>
      <x:c r="G41" s="27" t="str">
        <x:v>Performance Food Group</x:v>
      </x:c>
      <x:c r="H41" s="27" t="str">
        <x:v>United States</x:v>
      </x:c>
      <x:c r="I41" s="27" t="str">
        <x:v>US</x:v>
      </x:c>
      <x:c r="J41" s="27" t="str"/>
      <x:c r="K41" s="27" t="str">
        <x:v>Regional</x:v>
      </x:c>
      <x:c r="L41" s="27" t="str">
        <x:v>Florida, Georgia, North Carolina, South Carolina</x:v>
      </x:c>
      <x:c r="M41" s="27" t="str">
        <x:v>FL,GA,NC,SC</x:v>
      </x:c>
      <x:c r="N41" s="27" t="str">
        <x:v>Florida and the Southeast, supported by facilities and operations in Florida, Georgia and the Carolinas.</x:v>
      </x:c>
      <x:c r="O41" s="27" t="str">
        <x:v>https://www.cheneybrothers.com</x:v>
      </x:c>
      <x:c r="P41" s="27" t="str">
        <x:v>cheneybrothers.com</x:v>
      </x:c>
      <x:c r="Q41" s="27" t="str">
        <x:v>https://www.cheneycentral.com/</x:v>
      </x:c>
      <x:c r="R41" s="27" t="str">
        <x:v>cheney_central</x:v>
      </x:c>
      <x:c r="S41" s="27" t="str">
        <x:v>Verified direct customer portal (Cheney Central)</x:v>
      </x:c>
      <x:c r="T41" s="27" t="str">
        <x:v>https://www.cheneybrothers.com/wp-content/uploads/2021/01/CBI_Sales-Brochure_2021-REV-WEB.pdf</x:v>
      </x:c>
      <x:c r="U41" s="27" t="str">
        <x:v>Official guide mentions order-guide data import; no blank template located</x:v>
      </x:c>
      <x:c r="V41" s="27" t="str">
        <x:v>IFDA 2026</x:v>
      </x:c>
      <x:c r="W41" s="27" t="str">
        <x:v>https://www.cheneybrothers.com/services/cheney-central/</x:v>
      </x:c>
      <x:c r="X41" s="27" t="str">
        <x:v>https://www.cheneybrothers.com</x:v>
      </x:c>
      <x:c r="Y41" s="54" t="n">
        <x:v>46217</x:v>
      </x:c>
      <x:c r="Z41" s="27" t="str">
        <x:v>High</x:v>
      </x:c>
      <x:c r="AA41" s="27" t="str">
        <x:v>Approved seed</x:v>
      </x:c>
      <x:c r="AB41" s="27" t="str">
        <x:v>No</x:v>
      </x:c>
      <x:c r="AC41" s="27" t="str">
        <x:v>Cheney Central supports order entry and custom order guides. | PFG completed its acquisition of Cheney Brothers on October 8, 2024. | Performance Food Group completed the acquisition on October 8, 2024.</x:v>
      </x:c>
    </x:row>
    <x:row r="42">
      <x:c r="A42" s="27" t="str">
        <x:v>chick_fil_a_supply</x:v>
      </x:c>
      <x:c r="B42" s="27" t="str">
        <x:v>Chick-fil-A Supply</x:v>
      </x:c>
      <x:c r="C42" s="27" t="str"/>
      <x:c r="D42" s="27" t="str">
        <x:v>Closed or contract supply system</x:v>
      </x:c>
      <x:c r="E42" s="27" t="str">
        <x:v>Closed-system / chain supply</x:v>
      </x:c>
      <x:c r="F42" s="27" t="str">
        <x:v>Active</x:v>
      </x:c>
      <x:c r="G42" s="27" t="str"/>
      <x:c r="H42" s="27" t="str">
        <x:v>United States</x:v>
      </x:c>
      <x:c r="I42" s="27" t="str">
        <x:v>US</x:v>
      </x:c>
      <x:c r="J42" s="27" t="str"/>
      <x:c r="K42" s="27" t="str">
        <x:v>Closed system</x:v>
      </x:c>
      <x:c r="L42" s="27"/>
      <x:c r="M42" s="27"/>
      <x:c r="N42" s="27" t="str">
        <x:v>Dedicated Chick-fil-A supply network; not available to independent operators.</x:v>
      </x:c>
      <x:c r="O42" s="27" t="str">
        <x:v>https://www.cfa-supply.com</x:v>
      </x:c>
      <x:c r="P42" s="27" t="str">
        <x:v>cfa-supply.com</x:v>
      </x:c>
      <x:c r="Q42" s="27"/>
      <x:c r="R42" s="27" t="str"/>
      <x:c r="S42" s="27" t="str">
        <x:v>Closed or franchise/system-specific ordering</x:v>
      </x:c>
      <x:c r="T42" s="27"/>
      <x:c r="U42" s="27" t="str">
        <x:v>No public template located in this pass</x:v>
      </x:c>
      <x:c r="V42" s="27" t="str">
        <x:v>IFDA 2026</x:v>
      </x:c>
      <x:c r="W42" s="27" t="str">
        <x:v>https://ifdaonline.org/distributor-members/</x:v>
      </x:c>
      <x:c r="X42" s="27" t="str">
        <x:v>https://www.cfa-supply.com</x:v>
      </x:c>
      <x:c r="Y42" s="54" t="n">
        <x:v>46217</x:v>
      </x:c>
      <x:c r="Z42" s="27" t="str">
        <x:v>High</x:v>
      </x:c>
      <x:c r="AA42" s="27" t="str">
        <x:v>Reference only</x:v>
      </x:c>
      <x:c r="AB42" s="27" t="str">
        <x:v>No</x:v>
      </x:c>
      <x:c r="AC42" s="27" t="str">
        <x:v>Direct website verified from directory/source; customer ordering route requires additional account-level or site-specific verification.</x:v>
      </x:c>
    </x:row>
    <x:row r="43">
      <x:c r="A43" s="27" t="str">
        <x:v>christ_panos_foods_corporation</x:v>
      </x:c>
      <x:c r="B43" s="27" t="str">
        <x:v>Christ Panos Foods Corporation</x:v>
      </x:c>
      <x:c r="C43" s="27" t="str"/>
      <x:c r="D43" s="27" t="str">
        <x:v>Direct foodservice distributor</x:v>
      </x:c>
      <x:c r="E43" s="27" t="str">
        <x:v>Broadline / specialty</x:v>
      </x:c>
      <x:c r="F43" s="27" t="str">
        <x:v>Active</x:v>
      </x:c>
      <x:c r="G43" s="27" t="str"/>
      <x:c r="H43" s="27" t="str">
        <x:v>United States</x:v>
      </x:c>
      <x:c r="I43" s="27" t="str">
        <x:v>US</x:v>
      </x:c>
      <x:c r="J43" s="27" t="str"/>
      <x:c r="K43" s="27" t="str">
        <x:v>Regional</x:v>
      </x:c>
      <x:c r="L43" s="27" t="str">
        <x:v>Illinois, Indiana, Wisconsin</x:v>
      </x:c>
      <x:c r="M43" s="27" t="str">
        <x:v>IL,IN,WI</x:v>
      </x:c>
      <x:c r="N43" s="27" t="str">
        <x:v>Chicago-centered specialty and broadline distribution.</x:v>
      </x:c>
      <x:c r="O43" s="27" t="str">
        <x:v>https://www.panosfoods.com</x:v>
      </x:c>
      <x:c r="P43" s="27" t="str">
        <x:v>panosfoods.com</x:v>
      </x:c>
      <x:c r="Q43" s="27"/>
      <x:c r="R43" s="27" t="str"/>
      <x:c r="S43" s="27" t="str">
        <x:v>Ordering portal not publicly verified</x:v>
      </x:c>
      <x:c r="T43" s="27"/>
      <x:c r="U43" s="27" t="str">
        <x:v>No public template located in this pass</x:v>
      </x:c>
      <x:c r="V43" s="27" t="str">
        <x:v>IFDA 2026</x:v>
      </x:c>
      <x:c r="W43" s="27" t="str">
        <x:v>https://ifdaonline.org/distributor-members/</x:v>
      </x:c>
      <x:c r="X43" s="27" t="str">
        <x:v>https://www.panosfoods.com</x:v>
      </x:c>
      <x:c r="Y43" s="54" t="n">
        <x:v>46217</x:v>
      </x:c>
      <x:c r="Z43" s="27" t="str">
        <x:v>Low</x:v>
      </x:c>
      <x:c r="AA43" s="27" t="str">
        <x:v>Review before seed</x:v>
      </x:c>
      <x:c r="AB43" s="27" t="str">
        <x:v>No</x:v>
      </x:c>
      <x:c r="AC43" s="27" t="str">
        <x:v>Direct website verified from directory/source; customer ordering route requires additional account-level or site-specific verification.</x:v>
      </x:c>
    </x:row>
    <x:row r="44">
      <x:c r="A44" s="27" t="str">
        <x:v>city_line_distributors</x:v>
      </x:c>
      <x:c r="B44" s="27" t="str">
        <x:v>City Line Distributors</x:v>
      </x:c>
      <x:c r="C44" s="27" t="str"/>
      <x:c r="D44" s="27" t="str">
        <x:v>Direct foodservice distributor</x:v>
      </x:c>
      <x:c r="E44" s="27" t="str">
        <x:v>Broadline</x:v>
      </x:c>
      <x:c r="F44" s="27" t="str">
        <x:v>Active</x:v>
      </x:c>
      <x:c r="G44" s="27" t="str"/>
      <x:c r="H44" s="27" t="str">
        <x:v>United States</x:v>
      </x:c>
      <x:c r="I44" s="27" t="str">
        <x:v>US</x:v>
      </x:c>
      <x:c r="J44" s="27" t="str"/>
      <x:c r="K44" s="27" t="str">
        <x:v>Regional</x:v>
      </x:c>
      <x:c r="L44" s="27" t="str">
        <x:v>Connecticut, Massachusetts, New York, Rhode Island</x:v>
      </x:c>
      <x:c r="M44" s="27" t="str">
        <x:v>CT,MA,NY,RI</x:v>
      </x:c>
      <x:c r="N44" s="27" t="str">
        <x:v>Southern New England and nearby New York markets.</x:v>
      </x:c>
      <x:c r="O44" s="27" t="str">
        <x:v>https://www.citylinefoods.com</x:v>
      </x:c>
      <x:c r="P44" s="27" t="str">
        <x:v>citylinefoods.com</x:v>
      </x:c>
      <x:c r="Q44" s="27"/>
      <x:c r="R44" s="27" t="str"/>
      <x:c r="S44" s="27" t="str">
        <x:v>Ordering portal not publicly verified</x:v>
      </x:c>
      <x:c r="T44" s="27"/>
      <x:c r="U44" s="27" t="str">
        <x:v>No public template located in this pass</x:v>
      </x:c>
      <x:c r="V44" s="27" t="str">
        <x:v>IFDA 2026</x:v>
      </x:c>
      <x:c r="W44" s="27" t="str">
        <x:v>https://ifdaonline.org/distributor-members/</x:v>
      </x:c>
      <x:c r="X44" s="27" t="str">
        <x:v>https://www.citylinefoods.com</x:v>
      </x:c>
      <x:c r="Y44" s="54" t="n">
        <x:v>46217</x:v>
      </x:c>
      <x:c r="Z44" s="27" t="str">
        <x:v>Low</x:v>
      </x:c>
      <x:c r="AA44" s="27" t="str">
        <x:v>Review before seed</x:v>
      </x:c>
      <x:c r="AB44" s="27" t="str">
        <x:v>No</x:v>
      </x:c>
      <x:c r="AC44" s="27" t="str">
        <x:v>Direct website verified from directory/source; customer ordering route requires additional account-level or site-specific verification.</x:v>
      </x:c>
    </x:row>
    <x:row r="45">
      <x:c r="A45" s="27" t="str">
        <x:v>core_mark</x:v>
      </x:c>
      <x:c r="B45" s="27" t="str">
        <x:v>Core-Mark</x:v>
      </x:c>
      <x:c r="C45" s="27" t="str"/>
      <x:c r="D45" s="27" t="str">
        <x:v>Direct foodservice distributor</x:v>
      </x:c>
      <x:c r="E45" s="27" t="str">
        <x:v>Convenience distribution / PFG</x:v>
      </x:c>
      <x:c r="F45" s="27" t="str">
        <x:v>Active subsidiary / operating brand</x:v>
      </x:c>
      <x:c r="G45" s="27" t="str">
        <x:v>Performance Food Group</x:v>
      </x:c>
      <x:c r="H45" s="27" t="str">
        <x:v>United States</x:v>
      </x:c>
      <x:c r="I45" s="27" t="str">
        <x:v>US</x:v>
      </x:c>
      <x:c r="J45" s="27" t="str"/>
      <x:c r="K45" s="27" t="str">
        <x:v>National</x:v>
      </x:c>
      <x:c r="L45" s="27"/>
      <x:c r="M45" s="27"/>
      <x:c r="N45" s="27" t="str">
        <x:v>National convenience distribution business within Performance Food Group.</x:v>
      </x:c>
      <x:c r="O45" s="27" t="str">
        <x:v>https://www.core-mark.com</x:v>
      </x:c>
      <x:c r="P45" s="27" t="str">
        <x:v>core-mark.com</x:v>
      </x:c>
      <x:c r="Q45" s="27"/>
      <x:c r="R45" s="27" t="str"/>
      <x:c r="S45" s="27" t="str">
        <x:v>Ordering portal not publicly verified</x:v>
      </x:c>
      <x:c r="T45" s="27"/>
      <x:c r="U45" s="27" t="str">
        <x:v>No public template located in this pass</x:v>
      </x:c>
      <x:c r="V45" s="27" t="str">
        <x:v>Supplemental research</x:v>
      </x:c>
      <x:c r="W45" s="27" t="str">
        <x:v>https://www.core-mark.com</x:v>
      </x:c>
      <x:c r="X45" s="27" t="str">
        <x:v>https://www.core-mark.com</x:v>
      </x:c>
      <x:c r="Y45" s="54" t="n">
        <x:v>46217</x:v>
      </x:c>
      <x:c r="Z45" s="27" t="str">
        <x:v>High</x:v>
      </x:c>
      <x:c r="AA45" s="27" t="str">
        <x:v>Approved seed</x:v>
      </x:c>
      <x:c r="AB45" s="27" t="str">
        <x:v>No</x:v>
      </x:c>
      <x:c r="AC45" s="27" t="str">
        <x:v>Direct website verified from directory/source; customer ordering route requires additional account-level or site-specific verification.</x:v>
      </x:c>
    </x:row>
    <x:row r="46">
      <x:c r="A46" s="27" t="str">
        <x:v>cotati_food_service</x:v>
      </x:c>
      <x:c r="B46" s="27" t="str">
        <x:v>Cotati Food Service</x:v>
      </x:c>
      <x:c r="C46" s="27" t="str"/>
      <x:c r="D46" s="27" t="str">
        <x:v>Direct foodservice distributor</x:v>
      </x:c>
      <x:c r="E46" s="27" t="str">
        <x:v>Broadline</x:v>
      </x:c>
      <x:c r="F46" s="27" t="str">
        <x:v>Active</x:v>
      </x:c>
      <x:c r="G46" s="27" t="str"/>
      <x:c r="H46" s="27" t="str">
        <x:v>United States</x:v>
      </x:c>
      <x:c r="I46" s="27" t="str">
        <x:v>US</x:v>
      </x:c>
      <x:c r="J46" s="27" t="str"/>
      <x:c r="K46" s="27" t="str">
        <x:v>Local / regional</x:v>
      </x:c>
      <x:c r="L46" s="27" t="str">
        <x:v>California</x:v>
      </x:c>
      <x:c r="M46" s="27" t="str">
        <x:v>CA</x:v>
      </x:c>
      <x:c r="N46" s="27" t="str">
        <x:v>Northern California foodservice distribution.</x:v>
      </x:c>
      <x:c r="O46" s="27" t="str">
        <x:v>https://www.cotatifoodservice.com</x:v>
      </x:c>
      <x:c r="P46" s="27" t="str">
        <x:v>cotatifoodservice.com</x:v>
      </x:c>
      <x:c r="Q46" s="27"/>
      <x:c r="R46" s="27" t="str"/>
      <x:c r="S46" s="27" t="str">
        <x:v>Ordering portal not publicly verified</x:v>
      </x:c>
      <x:c r="T46" s="27"/>
      <x:c r="U46" s="27" t="str">
        <x:v>No public template located in this pass</x:v>
      </x:c>
      <x:c r="V46" s="27" t="str">
        <x:v>IFDA 2026</x:v>
      </x:c>
      <x:c r="W46" s="27" t="str">
        <x:v>https://ifdaonline.org/distributor-members/</x:v>
      </x:c>
      <x:c r="X46" s="27" t="str">
        <x:v>https://www.cotatifoodservice.com</x:v>
      </x:c>
      <x:c r="Y46" s="54" t="n">
        <x:v>46217</x:v>
      </x:c>
      <x:c r="Z46" s="27" t="str">
        <x:v>Medium</x:v>
      </x:c>
      <x:c r="AA46" s="27" t="str">
        <x:v>Approved seed</x:v>
      </x:c>
      <x:c r="AB46" s="27" t="str">
        <x:v>No</x:v>
      </x:c>
      <x:c r="AC46" s="27" t="str">
        <x:v>Direct website verified from directory/source; customer ordering route requires additional account-level or site-specific verification.</x:v>
      </x:c>
    </x:row>
    <x:row r="47">
      <x:c r="A47" s="27" t="str">
        <x:v>cottonwood_distribution</x:v>
      </x:c>
      <x:c r="B47" s="27" t="str">
        <x:v>Cottonwood Distribution</x:v>
      </x:c>
      <x:c r="C47" s="27" t="str"/>
      <x:c r="D47" s="27" t="str">
        <x:v>Direct foodservice distributor</x:v>
      </x:c>
      <x:c r="E47" s="27" t="str">
        <x:v>Foodservice distribution</x:v>
      </x:c>
      <x:c r="F47" s="27" t="str">
        <x:v>Active</x:v>
      </x:c>
      <x:c r="G47" s="27" t="str"/>
      <x:c r="H47" s="27" t="str">
        <x:v>United States</x:v>
      </x:c>
      <x:c r="I47" s="27" t="str">
        <x:v>US</x:v>
      </x:c>
      <x:c r="J47" s="27" t="str">
        <x:v>United States</x:v>
      </x:c>
      <x:c r="K47" s="27" t="str">
        <x:v>Unverified</x:v>
      </x:c>
      <x:c r="L47" s="27" t="str"/>
      <x:c r="M47" s="27" t="str"/>
      <x:c r="N47" s="27" t="str">
        <x:v>Territory requires verification.</x:v>
      </x:c>
      <x:c r="O47" s="27" t="str"/>
      <x:c r="P47" s="27" t="str"/>
      <x:c r="Q47" s="27" t="str"/>
      <x:c r="R47" s="27" t="str"/>
      <x:c r="S47" s="27" t="str">
        <x:v>Ordering portal not publicly verified</x:v>
      </x:c>
      <x:c r="T47" s="27" t="str"/>
      <x:c r="U47" s="27" t="str">
        <x:v>No public template located</x:v>
      </x:c>
      <x:c r="V47" s="27" t="str">
        <x:v>Golbon current/recent member</x:v>
      </x:c>
      <x:c r="W47" s="27" t="str">
        <x:v>https://golbon.com/press/</x:v>
      </x:c>
      <x:c r="X47" s="27" t="str">
        <x:v>https://golbon.com/press/</x:v>
      </x:c>
      <x:c r="Y47" s="54" t="n">
        <x:v>46217</x:v>
      </x:c>
      <x:c r="Z47" s="27" t="str">
        <x:v>Low</x:v>
      </x:c>
      <x:c r="AA47" s="27" t="str">
        <x:v>Review before seed</x:v>
      </x:c>
      <x:c r="AB47" s="27" t="str">
        <x:v>Yes</x:v>
      </x:c>
      <x:c r="AC47" s="27" t="str"/>
    </x:row>
    <x:row r="48">
      <x:c r="A48" s="27" t="str">
        <x:v>crs_onesource</x:v>
      </x:c>
      <x:c r="B48" s="27" t="str">
        <x:v>CRS OneSource</x:v>
      </x:c>
      <x:c r="C48" s="27" t="str"/>
      <x:c r="D48" s="27" t="str">
        <x:v>Direct foodservice distributor</x:v>
      </x:c>
      <x:c r="E48" s="27" t="str">
        <x:v>Broadline</x:v>
      </x:c>
      <x:c r="F48" s="27" t="str">
        <x:v>Active</x:v>
      </x:c>
      <x:c r="G48" s="27" t="str"/>
      <x:c r="H48" s="27" t="str">
        <x:v>United States</x:v>
      </x:c>
      <x:c r="I48" s="27" t="str">
        <x:v>US</x:v>
      </x:c>
      <x:c r="J48" s="27" t="str"/>
      <x:c r="K48" s="27" t="str">
        <x:v>Regional</x:v>
      </x:c>
      <x:c r="L48" s="27" t="str">
        <x:v>Illinois, Missouri, Indiana, Iowa</x:v>
      </x:c>
      <x:c r="M48" s="27" t="str">
        <x:v>IL,MO,IN,IA</x:v>
      </x:c>
      <x:c r="N48" s="27" t="str">
        <x:v>Illinois-centered regional distribution.</x:v>
      </x:c>
      <x:c r="O48" s="27" t="str">
        <x:v>https://www.crsonesource.com</x:v>
      </x:c>
      <x:c r="P48" s="27" t="str">
        <x:v>crsonesource.com</x:v>
      </x:c>
      <x:c r="Q48" s="27"/>
      <x:c r="R48" s="27" t="str"/>
      <x:c r="S48" s="27" t="str">
        <x:v>Ordering portal not publicly verified</x:v>
      </x:c>
      <x:c r="T48" s="27"/>
      <x:c r="U48" s="27" t="str">
        <x:v>No public template located in this pass</x:v>
      </x:c>
      <x:c r="V48" s="27" t="str">
        <x:v>IFDA 2026</x:v>
      </x:c>
      <x:c r="W48" s="27" t="str">
        <x:v>https://ifdaonline.org/distributor-members/</x:v>
      </x:c>
      <x:c r="X48" s="27" t="str">
        <x:v>https://www.crsonesource.com</x:v>
      </x:c>
      <x:c r="Y48" s="54" t="n">
        <x:v>46217</x:v>
      </x:c>
      <x:c r="Z48" s="27" t="str">
        <x:v>Low</x:v>
      </x:c>
      <x:c r="AA48" s="27" t="str">
        <x:v>Review before seed</x:v>
      </x:c>
      <x:c r="AB48" s="27" t="str">
        <x:v>No</x:v>
      </x:c>
      <x:c r="AC48" s="27" t="str">
        <x:v>Direct website verified from directory/source; customer ordering route requires additional account-level or site-specific verification.</x:v>
      </x:c>
    </x:row>
    <x:row r="49">
      <x:c r="A49" s="27" t="str">
        <x:v>curtze_food_service</x:v>
      </x:c>
      <x:c r="B49" s="27" t="str">
        <x:v>Curtze Food Service</x:v>
      </x:c>
      <x:c r="C49" s="27" t="str"/>
      <x:c r="D49" s="27" t="str">
        <x:v>Direct foodservice distributor</x:v>
      </x:c>
      <x:c r="E49" s="27" t="str">
        <x:v>Broadline</x:v>
      </x:c>
      <x:c r="F49" s="27" t="str">
        <x:v>Active</x:v>
      </x:c>
      <x:c r="G49" s="27" t="str"/>
      <x:c r="H49" s="27" t="str">
        <x:v>United States</x:v>
      </x:c>
      <x:c r="I49" s="27" t="str">
        <x:v>US</x:v>
      </x:c>
      <x:c r="J49" s="27" t="str"/>
      <x:c r="K49" s="27" t="str">
        <x:v>Multi-regional</x:v>
      </x:c>
      <x:c r="L49" s="27" t="str">
        <x:v>Pennsylvania, New York, Virginia, West Virginia, Ohio, Michigan, Indiana, Kentucky, Maryland</x:v>
      </x:c>
      <x:c r="M49" s="27" t="str">
        <x:v>PA,NY,VA,WV,OH,MI,IN,KY,MD</x:v>
      </x:c>
      <x:c r="N49" s="27" t="str">
        <x:v>Publishes a nine-state service footprint.</x:v>
      </x:c>
      <x:c r="O49" s="27" t="str">
        <x:v>https://www.curtze.com</x:v>
      </x:c>
      <x:c r="P49" s="27" t="str">
        <x:v>curtze.com</x:v>
      </x:c>
      <x:c r="Q49" s="27"/>
      <x:c r="R49" s="27" t="str"/>
      <x:c r="S49" s="27" t="str">
        <x:v>Ordering portal not publicly verified</x:v>
      </x:c>
      <x:c r="T49" s="27"/>
      <x:c r="U49" s="27" t="str">
        <x:v>No public template located in this pass</x:v>
      </x:c>
      <x:c r="V49" s="27" t="str">
        <x:v>IFDA 2026</x:v>
      </x:c>
      <x:c r="W49" s="27" t="str">
        <x:v>https://ifdaonline.org/distributor-members/</x:v>
      </x:c>
      <x:c r="X49" s="27" t="str">
        <x:v>https://www.curtze.com</x:v>
      </x:c>
      <x:c r="Y49" s="54" t="n">
        <x:v>46217</x:v>
      </x:c>
      <x:c r="Z49" s="27" t="str">
        <x:v>High</x:v>
      </x:c>
      <x:c r="AA49" s="27" t="str">
        <x:v>Approved seed</x:v>
      </x:c>
      <x:c r="AB49" s="27" t="str">
        <x:v>No</x:v>
      </x:c>
      <x:c r="AC49" s="27" t="str">
        <x:v>Direct website verified from directory/source; customer ordering route requires additional account-level or site-specific verification.</x:v>
      </x:c>
    </x:row>
    <x:row r="50">
      <x:c r="A50" s="27" t="str">
        <x:v>d_artagnan</x:v>
      </x:c>
      <x:c r="B50" s="27" t="str">
        <x:v>D'Artagnan</x:v>
      </x:c>
      <x:c r="C50" s="27" t="str"/>
      <x:c r="D50" s="27" t="str">
        <x:v>Direct foodservice distributor</x:v>
      </x:c>
      <x:c r="E50" s="27" t="str">
        <x:v>Meat / specialty</x:v>
      </x:c>
      <x:c r="F50" s="27" t="str">
        <x:v>Active</x:v>
      </x:c>
      <x:c r="G50" s="27" t="str"/>
      <x:c r="H50" s="27" t="str">
        <x:v>United States</x:v>
      </x:c>
      <x:c r="I50" s="27" t="str">
        <x:v>US</x:v>
      </x:c>
      <x:c r="J50" s="27" t="str"/>
      <x:c r="K50" s="27" t="str">
        <x:v>Online nationwide</x:v>
      </x:c>
      <x:c r="L50" s="27"/>
      <x:c r="M50" s="27"/>
      <x:c r="N50" s="27" t="str">
        <x:v>Online specialty meat and gourmet-food ordering with ZIP-dependent shipping.</x:v>
      </x:c>
      <x:c r="O50" s="27" t="str">
        <x:v>https://www.dartagnan.com</x:v>
      </x:c>
      <x:c r="P50" s="27" t="str">
        <x:v>dartagnan.com</x:v>
      </x:c>
      <x:c r="Q50" s="27"/>
      <x:c r="R50" s="27" t="str"/>
      <x:c r="S50" s="27" t="str">
        <x:v>Ordering portal not publicly verified</x:v>
      </x:c>
      <x:c r="T50" s="27"/>
      <x:c r="U50" s="27" t="str">
        <x:v>No public template located in this pass</x:v>
      </x:c>
      <x:c r="V50" s="27" t="str">
        <x:v>Supplemental research</x:v>
      </x:c>
      <x:c r="W50" s="27" t="str">
        <x:v>https://www.dartagnan.com</x:v>
      </x:c>
      <x:c r="X50" s="27" t="str">
        <x:v>https://www.dartagnan.com</x:v>
      </x:c>
      <x:c r="Y50" s="54" t="n">
        <x:v>46217</x:v>
      </x:c>
      <x:c r="Z50" s="27" t="str">
        <x:v>High</x:v>
      </x:c>
      <x:c r="AA50" s="27" t="str">
        <x:v>Approved seed</x:v>
      </x:c>
      <x:c r="AB50" s="27" t="str">
        <x:v>No</x:v>
      </x:c>
      <x:c r="AC50" s="27" t="str">
        <x:v>Direct website verified from directory/source; customer ordering route requires additional account-level or site-specific verification.</x:v>
      </x:c>
    </x:row>
    <x:row r="51">
      <x:c r="A51" s="27" t="str">
        <x:v>dawn_food_products</x:v>
      </x:c>
      <x:c r="B51" s="27" t="str">
        <x:v>Dawn Food Products</x:v>
      </x:c>
      <x:c r="C51" s="27" t="str"/>
      <x:c r="D51" s="27" t="str">
        <x:v>Direct foodservice distributor</x:v>
      </x:c>
      <x:c r="E51" s="27" t="str">
        <x:v>Bakery ingredients</x:v>
      </x:c>
      <x:c r="F51" s="27" t="str">
        <x:v>Active</x:v>
      </x:c>
      <x:c r="G51" s="27" t="str"/>
      <x:c r="H51" s="27" t="str">
        <x:v>United States</x:v>
      </x:c>
      <x:c r="I51" s="27" t="str">
        <x:v>US</x:v>
      </x:c>
      <x:c r="J51" s="27" t="str"/>
      <x:c r="K51" s="27" t="str">
        <x:v>National</x:v>
      </x:c>
      <x:c r="L51" s="27"/>
      <x:c r="M51" s="27"/>
      <x:c r="N51" s="27" t="str">
        <x:v>National bakery-ingredient manufacturer and distributor.</x:v>
      </x:c>
      <x:c r="O51" s="27" t="str">
        <x:v>https://www.dawnfoods.com</x:v>
      </x:c>
      <x:c r="P51" s="27" t="str">
        <x:v>dawnfoods.com</x:v>
      </x:c>
      <x:c r="Q51" s="27"/>
      <x:c r="R51" s="27" t="str"/>
      <x:c r="S51" s="27" t="str">
        <x:v>Ordering portal not publicly verified</x:v>
      </x:c>
      <x:c r="T51" s="27"/>
      <x:c r="U51" s="27" t="str">
        <x:v>No public template located in this pass</x:v>
      </x:c>
      <x:c r="V51" s="27" t="str">
        <x:v>IFDA 2026</x:v>
      </x:c>
      <x:c r="W51" s="27" t="str">
        <x:v>https://ifdaonline.org/distributor-members/</x:v>
      </x:c>
      <x:c r="X51" s="27" t="str">
        <x:v>https://www.dawnfoods.com</x:v>
      </x:c>
      <x:c r="Y51" s="54" t="n">
        <x:v>46217</x:v>
      </x:c>
      <x:c r="Z51" s="27" t="str">
        <x:v>High</x:v>
      </x:c>
      <x:c r="AA51" s="27" t="str">
        <x:v>Approved seed</x:v>
      </x:c>
      <x:c r="AB51" s="27" t="str">
        <x:v>No</x:v>
      </x:c>
      <x:c r="AC51" s="27" t="str">
        <x:v>Direct website verified from directory/source; customer ordering route requires additional account-level or site-specific verification.</x:v>
      </x:c>
    </x:row>
    <x:row r="52">
      <x:c r="A52" s="27" t="str">
        <x:v>dbh_distributing_hunt_brothers_pizza</x:v>
      </x:c>
      <x:c r="B52" s="27" t="str">
        <x:v>DBH Distributing / Hunt Brothers Pizza</x:v>
      </x:c>
      <x:c r="C52" s="27" t="str">
        <x:v>DBH Distributing LLC | Hunt Brothers Pizza</x:v>
      </x:c>
      <x:c r="D52" s="27" t="str">
        <x:v>Closed or contract supply system</x:v>
      </x:c>
      <x:c r="E52" s="27" t="str">
        <x:v>Closed-system / pizza program</x:v>
      </x:c>
      <x:c r="F52" s="27" t="str">
        <x:v>Active</x:v>
      </x:c>
      <x:c r="G52" s="27" t="str"/>
      <x:c r="H52" s="27" t="str">
        <x:v>United States</x:v>
      </x:c>
      <x:c r="I52" s="27" t="str">
        <x:v>US</x:v>
      </x:c>
      <x:c r="J52" s="27" t="str"/>
      <x:c r="K52" s="27" t="str">
        <x:v>Closed system</x:v>
      </x:c>
      <x:c r="L52" s="27"/>
      <x:c r="M52" s="27"/>
      <x:c r="N52" s="27" t="str">
        <x:v>Supply operation tied to the Hunt Brothers Pizza program.</x:v>
      </x:c>
      <x:c r="O52" s="27" t="str">
        <x:v>https://www.huntbrotherspizza.com</x:v>
      </x:c>
      <x:c r="P52" s="27" t="str">
        <x:v>huntbrotherspizza.com</x:v>
      </x:c>
      <x:c r="Q52" s="27"/>
      <x:c r="R52" s="27" t="str"/>
      <x:c r="S52" s="27" t="str">
        <x:v>Closed or franchise/system-specific ordering</x:v>
      </x:c>
      <x:c r="T52" s="27"/>
      <x:c r="U52" s="27" t="str">
        <x:v>No public template located in this pass</x:v>
      </x:c>
      <x:c r="V52" s="27" t="str">
        <x:v>IFDA 2026</x:v>
      </x:c>
      <x:c r="W52" s="27" t="str">
        <x:v>https://ifdaonline.org/distributor-members/</x:v>
      </x:c>
      <x:c r="X52" s="27" t="str">
        <x:v>https://www.huntbrotherspizza.com</x:v>
      </x:c>
      <x:c r="Y52" s="54" t="n">
        <x:v>46217</x:v>
      </x:c>
      <x:c r="Z52" s="27" t="str">
        <x:v>High</x:v>
      </x:c>
      <x:c r="AA52" s="27" t="str">
        <x:v>Reference only</x:v>
      </x:c>
      <x:c r="AB52" s="27" t="str">
        <x:v>No</x:v>
      </x:c>
      <x:c r="AC52" s="27" t="str">
        <x:v>Direct website verified from directory/source; customer ordering route requires additional account-level or site-specific verification.</x:v>
      </x:c>
    </x:row>
    <x:row r="53">
      <x:c r="A53" s="27" t="str">
        <x:v>dennis_food_service</x:v>
      </x:c>
      <x:c r="B53" s="27" t="str">
        <x:v>Dennis Food Service</x:v>
      </x:c>
      <x:c r="C53" s="27" t="str"/>
      <x:c r="D53" s="27" t="str">
        <x:v>Direct foodservice distributor</x:v>
      </x:c>
      <x:c r="E53" s="27" t="str">
        <x:v>Broadline</x:v>
      </x:c>
      <x:c r="F53" s="27" t="str">
        <x:v>Active</x:v>
      </x:c>
      <x:c r="G53" s="27" t="str"/>
      <x:c r="H53" s="27" t="str">
        <x:v>United States</x:v>
      </x:c>
      <x:c r="I53" s="27" t="str">
        <x:v>US</x:v>
      </x:c>
      <x:c r="J53" s="27" t="str"/>
      <x:c r="K53" s="27" t="str">
        <x:v>Regional</x:v>
      </x:c>
      <x:c r="L53" s="27" t="str">
        <x:v>Maine, New Hampshire</x:v>
      </x:c>
      <x:c r="M53" s="27" t="str">
        <x:v>ME,NH</x:v>
      </x:c>
      <x:c r="N53" s="27" t="str">
        <x:v>Published delivery territory in Maine and New Hampshire.</x:v>
      </x:c>
      <x:c r="O53" s="27" t="str">
        <x:v>https://dennisfoodservice.com</x:v>
      </x:c>
      <x:c r="P53" s="27" t="str">
        <x:v>dennisfoodservice.com</x:v>
      </x:c>
      <x:c r="Q53" s="27"/>
      <x:c r="R53" s="27" t="str"/>
      <x:c r="S53" s="27" t="str">
        <x:v>Ordering portal not publicly verified</x:v>
      </x:c>
      <x:c r="T53" s="27"/>
      <x:c r="U53" s="27" t="str">
        <x:v>No public template located in this pass</x:v>
      </x:c>
      <x:c r="V53" s="27" t="str">
        <x:v>IFDA 2026</x:v>
      </x:c>
      <x:c r="W53" s="27" t="str">
        <x:v>https://ifdaonline.org/distributor-members/</x:v>
      </x:c>
      <x:c r="X53" s="27" t="str">
        <x:v>https://dennisfoodservice.com</x:v>
      </x:c>
      <x:c r="Y53" s="54" t="n">
        <x:v>46217</x:v>
      </x:c>
      <x:c r="Z53" s="27" t="str">
        <x:v>High</x:v>
      </x:c>
      <x:c r="AA53" s="27" t="str">
        <x:v>Approved seed</x:v>
      </x:c>
      <x:c r="AB53" s="27" t="str">
        <x:v>No</x:v>
      </x:c>
      <x:c r="AC53" s="27" t="str">
        <x:v>Direct website verified from directory/source; customer ordering route requires additional account-level or site-specific verification.</x:v>
      </x:c>
    </x:row>
    <x:row r="54">
      <x:c r="A54" s="27" t="str">
        <x:v>diaz_wholesale_and_manufacturing</x:v>
      </x:c>
      <x:c r="B54" s="27" t="str">
        <x:v>Diaz Wholesale &amp; Manufacturing</x:v>
      </x:c>
      <x:c r="C54" s="27" t="str"/>
      <x:c r="D54" s="27" t="str">
        <x:v>Direct foodservice distributor</x:v>
      </x:c>
      <x:c r="E54" s="27" t="str">
        <x:v>Hispanic / specialty broadline</x:v>
      </x:c>
      <x:c r="F54" s="27" t="str">
        <x:v>Active</x:v>
      </x:c>
      <x:c r="G54" s="27" t="str"/>
      <x:c r="H54" s="27" t="str">
        <x:v>United States</x:v>
      </x:c>
      <x:c r="I54" s="27" t="str">
        <x:v>US</x:v>
      </x:c>
      <x:c r="J54" s="27" t="str"/>
      <x:c r="K54" s="27" t="str">
        <x:v>Multi-regional</x:v>
      </x:c>
      <x:c r="L54" s="27" t="str">
        <x:v>Georgia, Virginia, New Jersey</x:v>
      </x:c>
      <x:c r="M54" s="27" t="str">
        <x:v>GA,VA,NJ</x:v>
      </x:c>
      <x:c r="N54" s="27" t="str">
        <x:v>Company reports a broad multi-state eastern footprint, with facilities in Georgia, Virginia and New Jersey.</x:v>
      </x:c>
      <x:c r="O54" s="27" t="str">
        <x:v>https://www.diazfoods.com</x:v>
      </x:c>
      <x:c r="P54" s="27" t="str">
        <x:v>diazfoods.com</x:v>
      </x:c>
      <x:c r="Q54" s="27"/>
      <x:c r="R54" s="27" t="str"/>
      <x:c r="S54" s="27" t="str">
        <x:v>Ordering portal not publicly verified</x:v>
      </x:c>
      <x:c r="T54" s="27"/>
      <x:c r="U54" s="27" t="str">
        <x:v>No public template located in this pass</x:v>
      </x:c>
      <x:c r="V54" s="27" t="str">
        <x:v>IFDA 2026</x:v>
      </x:c>
      <x:c r="W54" s="27" t="str">
        <x:v>https://ifdaonline.org/distributor-members/</x:v>
      </x:c>
      <x:c r="X54" s="27" t="str">
        <x:v>https://www.diazfoods.com</x:v>
      </x:c>
      <x:c r="Y54" s="54" t="n">
        <x:v>46217</x:v>
      </x:c>
      <x:c r="Z54" s="27" t="str">
        <x:v>Medium</x:v>
      </x:c>
      <x:c r="AA54" s="27" t="str">
        <x:v>Approved seed</x:v>
      </x:c>
      <x:c r="AB54" s="27" t="str">
        <x:v>No</x:v>
      </x:c>
      <x:c r="AC54" s="27" t="str">
        <x:v>Direct website verified from directory/source; customer ordering route requires additional account-level or site-specific verification.</x:v>
      </x:c>
    </x:row>
    <x:row r="55">
      <x:c r="A55" s="27" t="str">
        <x:v>dicarlo_distributors_inc</x:v>
      </x:c>
      <x:c r="B55" s="27" t="str">
        <x:v>DiCarlo Distributors, Inc.</x:v>
      </x:c>
      <x:c r="C55" s="27" t="str"/>
      <x:c r="D55" s="27" t="str">
        <x:v>Direct foodservice distributor</x:v>
      </x:c>
      <x:c r="E55" s="27" t="str">
        <x:v>Italian / broadline</x:v>
      </x:c>
      <x:c r="F55" s="27" t="str">
        <x:v>Active</x:v>
      </x:c>
      <x:c r="G55" s="27" t="str"/>
      <x:c r="H55" s="27" t="str">
        <x:v>United States</x:v>
      </x:c>
      <x:c r="I55" s="27" t="str">
        <x:v>US</x:v>
      </x:c>
      <x:c r="J55" s="27" t="str"/>
      <x:c r="K55" s="27" t="str">
        <x:v>Multi-regional</x:v>
      </x:c>
      <x:c r="L55" s="27" t="str">
        <x:v>Massachusetts, Connecticut, New York, New Jersey, Pennsylvania, Delaware, Maryland, District of Columbia</x:v>
      </x:c>
      <x:c r="M55" s="27" t="str">
        <x:v>MA,CT,NY,NJ,PA,DE,MD,DC</x:v>
      </x:c>
      <x:c r="N55" s="27" t="str">
        <x:v>Boston-to-Baltimore corridor with a strong New York tri-state presence.</x:v>
      </x:c>
      <x:c r="O55" s="27" t="str">
        <x:v>https://www.dicarlofood.com</x:v>
      </x:c>
      <x:c r="P55" s="27" t="str">
        <x:v>dicarlofood.com</x:v>
      </x:c>
      <x:c r="Q55" s="27"/>
      <x:c r="R55" s="27" t="str"/>
      <x:c r="S55" s="27" t="str">
        <x:v>Ordering portal not publicly verified</x:v>
      </x:c>
      <x:c r="T55" s="27"/>
      <x:c r="U55" s="27" t="str">
        <x:v>No public template located in this pass</x:v>
      </x:c>
      <x:c r="V55" s="27" t="str">
        <x:v>IFDA 2026</x:v>
      </x:c>
      <x:c r="W55" s="27" t="str">
        <x:v>https://ifdaonline.org/distributor-members/</x:v>
      </x:c>
      <x:c r="X55" s="27" t="str">
        <x:v>https://www.dicarlofood.com</x:v>
      </x:c>
      <x:c r="Y55" s="54" t="n">
        <x:v>46217</x:v>
      </x:c>
      <x:c r="Z55" s="27" t="str">
        <x:v>High</x:v>
      </x:c>
      <x:c r="AA55" s="27" t="str">
        <x:v>Approved seed</x:v>
      </x:c>
      <x:c r="AB55" s="27" t="str">
        <x:v>No</x:v>
      </x:c>
      <x:c r="AC55" s="27" t="str">
        <x:v>Direct website verified from directory/source; customer ordering route requires additional account-level or site-specific verification.</x:v>
      </x:c>
    </x:row>
    <x:row r="56">
      <x:c r="A56" s="27" t="str">
        <x:v>distribution_market_advantage</x:v>
      </x:c>
      <x:c r="B56" s="27" t="str">
        <x:v>Distribution Market Advantage</x:v>
      </x:c>
      <x:c r="C56" s="27" t="str"/>
      <x:c r="D56" s="27" t="str">
        <x:v>Distributor network / cooperative</x:v>
      </x:c>
      <x:c r="E56" s="27" t="str">
        <x:v>Distributor network</x:v>
      </x:c>
      <x:c r="F56" s="27" t="str">
        <x:v>Active</x:v>
      </x:c>
      <x:c r="G56" s="27" t="str"/>
      <x:c r="H56" s="27" t="str">
        <x:v>United States</x:v>
      </x:c>
      <x:c r="I56" s="27" t="str">
        <x:v>US</x:v>
      </x:c>
      <x:c r="J56" s="27" t="str"/>
      <x:c r="K56" s="27" t="str">
        <x:v>Distributor network</x:v>
      </x:c>
      <x:c r="L56" s="27"/>
      <x:c r="M56" s="27"/>
      <x:c r="N56" s="27" t="str">
        <x:v>National distributor alliance; match customers to the appropriate local member rather than DMA itself.</x:v>
      </x:c>
      <x:c r="O56" s="27" t="str">
        <x:v>https://dmadelivers.com</x:v>
      </x:c>
      <x:c r="P56" s="27" t="str">
        <x:v>dmadelivers.com</x:v>
      </x:c>
      <x:c r="Q56" s="27"/>
      <x:c r="R56" s="27" t="str"/>
      <x:c r="S56" s="27" t="str">
        <x:v>Network/cooperative — not an operator ordering portal</x:v>
      </x:c>
      <x:c r="T56" s="27"/>
      <x:c r="U56" s="27" t="str">
        <x:v>No public template located in this pass</x:v>
      </x:c>
      <x:c r="V56" s="27" t="str">
        <x:v>IFDA 2026</x:v>
      </x:c>
      <x:c r="W56" s="27" t="str">
        <x:v>https://ifdaonline.org/distributor-members/</x:v>
      </x:c>
      <x:c r="X56" s="27" t="str">
        <x:v>https://dmadelivers.com</x:v>
      </x:c>
      <x:c r="Y56" s="54" t="n">
        <x:v>46217</x:v>
      </x:c>
      <x:c r="Z56" s="27" t="str">
        <x:v>High</x:v>
      </x:c>
      <x:c r="AA56" s="27" t="str">
        <x:v>Reference only</x:v>
      </x:c>
      <x:c r="AB56" s="27" t="str">
        <x:v>No</x:v>
      </x:c>
      <x:c r="AC56" s="27" t="str">
        <x:v>Direct website verified from directory/source; customer ordering route requires additional account-level or site-specific verification.</x:v>
      </x:c>
    </x:row>
    <x:row r="57">
      <x:c r="A57" s="27" t="str">
        <x:v>divine_specialties</x:v>
      </x:c>
      <x:c r="B57" s="27" t="str">
        <x:v>Divine Specialties</x:v>
      </x:c>
      <x:c r="C57" s="27" t="str"/>
      <x:c r="D57" s="27" t="str">
        <x:v>Direct foodservice distributor</x:v>
      </x:c>
      <x:c r="E57" s="27" t="str">
        <x:v>Bakery, chocolate and specialty ingredients</x:v>
      </x:c>
      <x:c r="F57" s="27" t="str">
        <x:v>Active</x:v>
      </x:c>
      <x:c r="G57" s="27" t="str"/>
      <x:c r="H57" s="27" t="str">
        <x:v>United States</x:v>
      </x:c>
      <x:c r="I57" s="27" t="str">
        <x:v>US</x:v>
      </x:c>
      <x:c r="J57" s="27" t="str">
        <x:v>San Fernando, California</x:v>
      </x:c>
      <x:c r="K57" s="27" t="str">
        <x:v>Regional delivery / online</x:v>
      </x:c>
      <x:c r="L57" s="27" t="str">
        <x:v>California</x:v>
      </x:c>
      <x:c r="M57" s="27" t="str">
        <x:v>CA</x:v>
      </x:c>
      <x:c r="N57" s="27" t="str">
        <x:v>Southern California delivery with online specialty ordering.</x:v>
      </x:c>
      <x:c r="O57" s="27" t="str">
        <x:v>https://www.divinespecialties.com/</x:v>
      </x:c>
      <x:c r="P57" s="27" t="str">
        <x:v>divinespecialties.com</x:v>
      </x:c>
      <x:c r="Q57" s="27" t="str">
        <x:v>https://www.divinespecialties.com/product-category/shop-online/</x:v>
      </x:c>
      <x:c r="R57" s="27" t="str">
        <x:v>public_ecommerce</x:v>
      </x:c>
      <x:c r="S57" s="27" t="str">
        <x:v>Public e-commerce storefront</x:v>
      </x:c>
      <x:c r="T57" s="27" t="str"/>
      <x:c r="U57" s="27" t="str">
        <x:v>No public template located</x:v>
      </x:c>
      <x:c r="V57" s="27" t="str">
        <x:v>Golbon current/recent member</x:v>
      </x:c>
      <x:c r="W57" s="27" t="str">
        <x:v>https://golbon.com/press/golbon-welcomes-new-member-divine-specialties/</x:v>
      </x:c>
      <x:c r="X57" s="27" t="str">
        <x:v>https://www.divinespecialties.com/welcome-divine-specialties/</x:v>
      </x:c>
      <x:c r="Y57" s="54" t="n">
        <x:v>46217</x:v>
      </x:c>
      <x:c r="Z57" s="27" t="str">
        <x:v>High</x:v>
      </x:c>
      <x:c r="AA57" s="27" t="str">
        <x:v>Approved seed</x:v>
      </x:c>
      <x:c r="AB57" s="27" t="str">
        <x:v>Yes</x:v>
      </x:c>
      <x:c r="AC57" s="27" t="str"/>
    </x:row>
    <x:row r="58">
      <x:c r="A58" s="27" t="str">
        <x:v>dot_foods_inc</x:v>
      </x:c>
      <x:c r="B58" s="27" t="str">
        <x:v>Dot Foods, Inc.</x:v>
      </x:c>
      <x:c r="C58" s="27" t="str"/>
      <x:c r="D58" s="27" t="str">
        <x:v>Redistributor</x:v>
      </x:c>
      <x:c r="E58" s="27" t="str">
        <x:v>Redistributor</x:v>
      </x:c>
      <x:c r="F58" s="27" t="str">
        <x:v>Active</x:v>
      </x:c>
      <x:c r="G58" s="27" t="str"/>
      <x:c r="H58" s="27" t="str">
        <x:v>United States</x:v>
      </x:c>
      <x:c r="I58" s="27" t="str">
        <x:v>US</x:v>
      </x:c>
      <x:c r="J58" s="27" t="str"/>
      <x:c r="K58" s="27" t="str">
        <x:v>National redistributor</x:v>
      </x:c>
      <x:c r="L58" s="27"/>
      <x:c r="M58" s="27"/>
      <x:c r="N58" s="27" t="str">
        <x:v>National redistributor serving distributor customers rather than most restaurants directly.</x:v>
      </x:c>
      <x:c r="O58" s="27" t="str">
        <x:v>https://www.dotfoods.com</x:v>
      </x:c>
      <x:c r="P58" s="27" t="str">
        <x:v>dotfoods.com</x:v>
      </x:c>
      <x:c r="Q58" s="27"/>
      <x:c r="R58" s="27" t="str"/>
      <x:c r="S58" s="27" t="str">
        <x:v>Ordering portal not publicly verified</x:v>
      </x:c>
      <x:c r="T58" s="27"/>
      <x:c r="U58" s="27" t="str">
        <x:v>No public template located in this pass</x:v>
      </x:c>
      <x:c r="V58" s="27" t="str">
        <x:v>IFDA 2026</x:v>
      </x:c>
      <x:c r="W58" s="27" t="str">
        <x:v>https://ifdaonline.org/distributor-members/</x:v>
      </x:c>
      <x:c r="X58" s="27" t="str">
        <x:v>https://www.dotfoods.com</x:v>
      </x:c>
      <x:c r="Y58" s="54" t="n">
        <x:v>46217</x:v>
      </x:c>
      <x:c r="Z58" s="27" t="str">
        <x:v>High</x:v>
      </x:c>
      <x:c r="AA58" s="27" t="str">
        <x:v>Reference only</x:v>
      </x:c>
      <x:c r="AB58" s="27" t="str">
        <x:v>No</x:v>
      </x:c>
      <x:c r="AC58" s="27" t="str">
        <x:v>Direct website verified from directory/source; customer ordering route requires additional account-level or site-specific verification.</x:v>
      </x:c>
    </x:row>
    <x:row r="59">
      <x:c r="A59" s="27" t="str">
        <x:v>driscoll_foods</x:v>
      </x:c>
      <x:c r="B59" s="27" t="str">
        <x:v>Driscoll Foods</x:v>
      </x:c>
      <x:c r="C59" s="27" t="str"/>
      <x:c r="D59" s="27" t="str">
        <x:v>Direct foodservice distributor</x:v>
      </x:c>
      <x:c r="E59" s="27" t="str">
        <x:v>Broadline</x:v>
      </x:c>
      <x:c r="F59" s="27" t="str">
        <x:v>Active</x:v>
      </x:c>
      <x:c r="G59" s="27" t="str"/>
      <x:c r="H59" s="27" t="str">
        <x:v>United States</x:v>
      </x:c>
      <x:c r="I59" s="27" t="str">
        <x:v>US</x:v>
      </x:c>
      <x:c r="J59" s="27" t="str"/>
      <x:c r="K59" s="27" t="str">
        <x:v>Regional</x:v>
      </x:c>
      <x:c r="L59" s="27" t="str">
        <x:v>New Jersey, New York, Pennsylvania, Connecticut</x:v>
      </x:c>
      <x:c r="M59" s="27" t="str">
        <x:v>NJ,NY,PA,CT</x:v>
      </x:c>
      <x:c r="N59" s="27" t="str">
        <x:v>New Jersey, New York, Pennsylvania and adjacent Northeast routes.</x:v>
      </x:c>
      <x:c r="O59" s="27" t="str">
        <x:v>https://www.driscollfoods.com</x:v>
      </x:c>
      <x:c r="P59" s="27" t="str">
        <x:v>driscollfoods.com</x:v>
      </x:c>
      <x:c r="Q59" s="27"/>
      <x:c r="R59" s="27" t="str"/>
      <x:c r="S59" s="27" t="str">
        <x:v>Ordering portal not publicly verified</x:v>
      </x:c>
      <x:c r="T59" s="27"/>
      <x:c r="U59" s="27" t="str">
        <x:v>No public template located in this pass</x:v>
      </x:c>
      <x:c r="V59" s="27" t="str">
        <x:v>IFDA 2026</x:v>
      </x:c>
      <x:c r="W59" s="27" t="str">
        <x:v>https://ifdaonline.org/distributor-members/</x:v>
      </x:c>
      <x:c r="X59" s="27" t="str">
        <x:v>https://www.driscollfoods.com</x:v>
      </x:c>
      <x:c r="Y59" s="54" t="n">
        <x:v>46217</x:v>
      </x:c>
      <x:c r="Z59" s="27" t="str">
        <x:v>Medium</x:v>
      </x:c>
      <x:c r="AA59" s="27" t="str">
        <x:v>Approved seed</x:v>
      </x:c>
      <x:c r="AB59" s="27" t="str">
        <x:v>No</x:v>
      </x:c>
      <x:c r="AC59" s="27" t="str">
        <x:v>Direct website verified from directory/source; customer ordering route requires additional account-level or site-specific verification.</x:v>
      </x:c>
    </x:row>
    <x:row r="60">
      <x:c r="A60" s="27" t="str">
        <x:v>emaco_food_services</x:v>
      </x:c>
      <x:c r="B60" s="27" t="str">
        <x:v>Emaco Food Services</x:v>
      </x:c>
      <x:c r="C60" s="27" t="str"/>
      <x:c r="D60" s="27" t="str">
        <x:v>Direct foodservice distributor</x:v>
      </x:c>
      <x:c r="E60" s="27" t="str">
        <x:v>Broadline land and marine food distribution</x:v>
      </x:c>
      <x:c r="F60" s="27" t="str">
        <x:v>Active</x:v>
      </x:c>
      <x:c r="G60" s="27" t="str"/>
      <x:c r="H60" s="27" t="str">
        <x:v>United States</x:v>
      </x:c>
      <x:c r="I60" s="27" t="str">
        <x:v>US</x:v>
      </x:c>
      <x:c r="J60" s="27" t="str">
        <x:v>Lafayette, Louisiana</x:v>
      </x:c>
      <x:c r="K60" s="27" t="str">
        <x:v>Regional / marine</x:v>
      </x:c>
      <x:c r="L60" s="27" t="str">
        <x:v>Louisiana</x:v>
      </x:c>
      <x:c r="M60" s="27" t="str">
        <x:v>LA</x:v>
      </x:c>
      <x:c r="N60" s="27" t="str">
        <x:v>Greater Acadiana plus offshore and remote catering support.</x:v>
      </x:c>
      <x:c r="O60" s="27" t="str">
        <x:v>https://emacofs.com/</x:v>
      </x:c>
      <x:c r="P60" s="27" t="str">
        <x:v>emacofs.com</x:v>
      </x:c>
      <x:c r="Q60" s="27" t="str"/>
      <x:c r="R60" s="27" t="str"/>
      <x:c r="S60" s="27" t="str">
        <x:v>Ordering portal not publicly verified</x:v>
      </x:c>
      <x:c r="T60" s="27" t="str"/>
      <x:c r="U60" s="27" t="str">
        <x:v>No public template located</x:v>
      </x:c>
      <x:c r="V60" s="27" t="str">
        <x:v>Golbon current/recent member</x:v>
      </x:c>
      <x:c r="W60" s="27" t="str">
        <x:v>https://golbon.com/press/golbon-welcomes-new-member-emaco-food-services/</x:v>
      </x:c>
      <x:c r="X60" s="27" t="str">
        <x:v>https://emacofs.com/</x:v>
      </x:c>
      <x:c r="Y60" s="54" t="n">
        <x:v>46217</x:v>
      </x:c>
      <x:c r="Z60" s="27" t="str">
        <x:v>High</x:v>
      </x:c>
      <x:c r="AA60" s="27" t="str">
        <x:v>Approved seed</x:v>
      </x:c>
      <x:c r="AB60" s="27" t="str">
        <x:v>Yes</x:v>
      </x:c>
      <x:c r="AC60" s="27" t="str"/>
    </x:row>
    <x:row r="61">
      <x:c r="A61" s="27" t="str">
        <x:v>euclid_fish_company</x:v>
      </x:c>
      <x:c r="B61" s="27" t="str">
        <x:v>Euclid Fish Company</x:v>
      </x:c>
      <x:c r="C61" s="27" t="str"/>
      <x:c r="D61" s="27" t="str">
        <x:v>Direct foodservice distributor</x:v>
      </x:c>
      <x:c r="E61" s="27" t="str">
        <x:v>Seafood / specialty</x:v>
      </x:c>
      <x:c r="F61" s="27" t="str">
        <x:v>Active</x:v>
      </x:c>
      <x:c r="G61" s="27" t="str"/>
      <x:c r="H61" s="27" t="str">
        <x:v>United States</x:v>
      </x:c>
      <x:c r="I61" s="27" t="str">
        <x:v>US</x:v>
      </x:c>
      <x:c r="J61" s="27" t="str"/>
      <x:c r="K61" s="27" t="str">
        <x:v>Regional</x:v>
      </x:c>
      <x:c r="L61" s="27" t="str">
        <x:v>Ohio, Michigan, Pennsylvania, New York</x:v>
      </x:c>
      <x:c r="M61" s="27" t="str">
        <x:v>OH,MI,PA,NY</x:v>
      </x:c>
      <x:c r="N61" s="27" t="str">
        <x:v>Ohio-centered seafood and specialty distribution across nearby Great Lakes markets.</x:v>
      </x:c>
      <x:c r="O61" s="27" t="str">
        <x:v>https://www.euclidfish.com</x:v>
      </x:c>
      <x:c r="P61" s="27" t="str">
        <x:v>euclidfish.com</x:v>
      </x:c>
      <x:c r="Q61" s="27"/>
      <x:c r="R61" s="27" t="str"/>
      <x:c r="S61" s="27" t="str">
        <x:v>Ordering portal not publicly verified</x:v>
      </x:c>
      <x:c r="T61" s="27"/>
      <x:c r="U61" s="27" t="str">
        <x:v>No public template located in this pass</x:v>
      </x:c>
      <x:c r="V61" s="27" t="str">
        <x:v>IFDA 2026</x:v>
      </x:c>
      <x:c r="W61" s="27" t="str">
        <x:v>https://ifdaonline.org/distributor-members/</x:v>
      </x:c>
      <x:c r="X61" s="27" t="str">
        <x:v>https://www.euclidfish.com</x:v>
      </x:c>
      <x:c r="Y61" s="54" t="n">
        <x:v>46217</x:v>
      </x:c>
      <x:c r="Z61" s="27" t="str">
        <x:v>Low</x:v>
      </x:c>
      <x:c r="AA61" s="27" t="str">
        <x:v>Review before seed</x:v>
      </x:c>
      <x:c r="AB61" s="27" t="str">
        <x:v>No</x:v>
      </x:c>
      <x:c r="AC61" s="27" t="str">
        <x:v>Direct website verified from directory/source; customer ordering route requires additional account-level or site-specific verification.</x:v>
      </x:c>
    </x:row>
    <x:row r="62">
      <x:c r="A62" s="27" t="str">
        <x:v>evco_wholesale_food_corp</x:v>
      </x:c>
      <x:c r="B62" s="27" t="str">
        <x:v>EVCO Wholesale Food Corp.</x:v>
      </x:c>
      <x:c r="C62" s="27" t="str"/>
      <x:c r="D62" s="27" t="str">
        <x:v>Direct foodservice distributor</x:v>
      </x:c>
      <x:c r="E62" s="27" t="str">
        <x:v>Broadline</x:v>
      </x:c>
      <x:c r="F62" s="27" t="str">
        <x:v>Active</x:v>
      </x:c>
      <x:c r="G62" s="27" t="str"/>
      <x:c r="H62" s="27" t="str">
        <x:v>United States</x:v>
      </x:c>
      <x:c r="I62" s="27" t="str">
        <x:v>US</x:v>
      </x:c>
      <x:c r="J62" s="27" t="str"/>
      <x:c r="K62" s="27" t="str">
        <x:v>Regional</x:v>
      </x:c>
      <x:c r="L62" s="27" t="str">
        <x:v>California, Nevada, Arizona</x:v>
      </x:c>
      <x:c r="M62" s="27" t="str">
        <x:v>CA,NV,AZ</x:v>
      </x:c>
      <x:c r="N62" s="27" t="str">
        <x:v>California-centered regional wholesale food distribution.</x:v>
      </x:c>
      <x:c r="O62" s="27" t="str">
        <x:v>https://www.evcofoods.com</x:v>
      </x:c>
      <x:c r="P62" s="27" t="str">
        <x:v>evcofoods.com</x:v>
      </x:c>
      <x:c r="Q62" s="27"/>
      <x:c r="R62" s="27" t="str"/>
      <x:c r="S62" s="27" t="str">
        <x:v>Ordering portal not publicly verified</x:v>
      </x:c>
      <x:c r="T62" s="27"/>
      <x:c r="U62" s="27" t="str">
        <x:v>No public template located in this pass</x:v>
      </x:c>
      <x:c r="V62" s="27" t="str">
        <x:v>IFDA 2026</x:v>
      </x:c>
      <x:c r="W62" s="27" t="str">
        <x:v>https://ifdaonline.org/distributor-members/</x:v>
      </x:c>
      <x:c r="X62" s="27" t="str">
        <x:v>https://www.evcofoods.com</x:v>
      </x:c>
      <x:c r="Y62" s="54" t="n">
        <x:v>46217</x:v>
      </x:c>
      <x:c r="Z62" s="27" t="str">
        <x:v>Low</x:v>
      </x:c>
      <x:c r="AA62" s="27" t="str">
        <x:v>Review before seed</x:v>
      </x:c>
      <x:c r="AB62" s="27" t="str">
        <x:v>No</x:v>
      </x:c>
      <x:c r="AC62" s="27" t="str">
        <x:v>Direct website verified from directory/source; customer ordering route requires additional account-level or site-specific verification.</x:v>
      </x:c>
    </x:row>
    <x:row r="63">
      <x:c r="A63" s="27" t="str">
        <x:v>f_and_a_food_sales_inc</x:v>
      </x:c>
      <x:c r="B63" s="27" t="str">
        <x:v>F &amp; A Food Sales, Inc.</x:v>
      </x:c>
      <x:c r="C63" s="27" t="str"/>
      <x:c r="D63" s="27" t="str">
        <x:v>Direct foodservice distributor</x:v>
      </x:c>
      <x:c r="E63" s="27" t="str">
        <x:v>Specialty / wholesale</x:v>
      </x:c>
      <x:c r="F63" s="27" t="str">
        <x:v>Active</x:v>
      </x:c>
      <x:c r="G63" s="27" t="str"/>
      <x:c r="H63" s="27" t="str">
        <x:v>United States</x:v>
      </x:c>
      <x:c r="I63" s="27" t="str">
        <x:v>US</x:v>
      </x:c>
      <x:c r="J63" s="27" t="str"/>
      <x:c r="K63" s="27" t="str">
        <x:v>Regional</x:v>
      </x:c>
      <x:c r="L63" s="27" t="str">
        <x:v>Massachusetts, Connecticut, Rhode Island, New Hampshire</x:v>
      </x:c>
      <x:c r="M63" s="27" t="str">
        <x:v>MA,CT,RI,NH</x:v>
      </x:c>
      <x:c r="N63" s="27" t="str">
        <x:v>New England specialty and wholesale distribution.</x:v>
      </x:c>
      <x:c r="O63" s="27" t="str">
        <x:v>https://www.fafoodsales.com</x:v>
      </x:c>
      <x:c r="P63" s="27" t="str">
        <x:v>fafoodsales.com</x:v>
      </x:c>
      <x:c r="Q63" s="27"/>
      <x:c r="R63" s="27" t="str"/>
      <x:c r="S63" s="27" t="str">
        <x:v>Ordering portal not publicly verified</x:v>
      </x:c>
      <x:c r="T63" s="27"/>
      <x:c r="U63" s="27" t="str">
        <x:v>No public template located in this pass</x:v>
      </x:c>
      <x:c r="V63" s="27" t="str">
        <x:v>IFDA 2026</x:v>
      </x:c>
      <x:c r="W63" s="27" t="str">
        <x:v>https://ifdaonline.org/distributor-members/</x:v>
      </x:c>
      <x:c r="X63" s="27" t="str">
        <x:v>https://www.fafoodsales.com</x:v>
      </x:c>
      <x:c r="Y63" s="54" t="n">
        <x:v>46217</x:v>
      </x:c>
      <x:c r="Z63" s="27" t="str">
        <x:v>Low</x:v>
      </x:c>
      <x:c r="AA63" s="27" t="str">
        <x:v>Review before seed</x:v>
      </x:c>
      <x:c r="AB63" s="27" t="str">
        <x:v>No</x:v>
      </x:c>
      <x:c r="AC63" s="27" t="str">
        <x:v>Direct website verified from directory/source; customer ordering route requires additional account-level or site-specific verification.</x:v>
      </x:c>
    </x:row>
    <x:row r="64">
      <x:c r="A64" s="27" t="str">
        <x:v>federated_foodservice</x:v>
      </x:c>
      <x:c r="B64" s="27" t="str">
        <x:v>Federated Foodservice</x:v>
      </x:c>
      <x:c r="C64" s="27" t="str"/>
      <x:c r="D64" s="27" t="str">
        <x:v>Distributor network / cooperative</x:v>
      </x:c>
      <x:c r="E64" s="27" t="str">
        <x:v>Distributor network</x:v>
      </x:c>
      <x:c r="F64" s="27" t="str">
        <x:v>Active</x:v>
      </x:c>
      <x:c r="G64" s="27" t="str"/>
      <x:c r="H64" s="27" t="str">
        <x:v>United States</x:v>
      </x:c>
      <x:c r="I64" s="27" t="str">
        <x:v>US</x:v>
      </x:c>
      <x:c r="J64" s="27" t="str"/>
      <x:c r="K64" s="27" t="str">
        <x:v>Distributor network</x:v>
      </x:c>
      <x:c r="L64" s="27"/>
      <x:c r="M64" s="27"/>
      <x:c r="N64" s="27" t="str">
        <x:v>Distributor/member network; use its local member rather than treating the network as a direct purveyor.</x:v>
      </x:c>
      <x:c r="O64" s="27" t="str">
        <x:v>https://www.federatedfoodservice.com</x:v>
      </x:c>
      <x:c r="P64" s="27" t="str">
        <x:v>federatedfoodservice.com</x:v>
      </x:c>
      <x:c r="Q64" s="27"/>
      <x:c r="R64" s="27" t="str"/>
      <x:c r="S64" s="27" t="str">
        <x:v>Network/cooperative — not an operator ordering portal</x:v>
      </x:c>
      <x:c r="T64" s="27"/>
      <x:c r="U64" s="27" t="str">
        <x:v>No public template located in this pass</x:v>
      </x:c>
      <x:c r="V64" s="27" t="str">
        <x:v>IFDA 2026</x:v>
      </x:c>
      <x:c r="W64" s="27" t="str">
        <x:v>https://ifdaonline.org/distributor-members/</x:v>
      </x:c>
      <x:c r="X64" s="27" t="str">
        <x:v>https://www.federatedfoodservice.com</x:v>
      </x:c>
      <x:c r="Y64" s="54" t="n">
        <x:v>46217</x:v>
      </x:c>
      <x:c r="Z64" s="27" t="str">
        <x:v>High</x:v>
      </x:c>
      <x:c r="AA64" s="27" t="str">
        <x:v>Reference only</x:v>
      </x:c>
      <x:c r="AB64" s="27" t="str">
        <x:v>No</x:v>
      </x:c>
      <x:c r="AC64" s="27" t="str">
        <x:v>Direct website verified from directory/source; customer ordering route requires additional account-level or site-specific verification.</x:v>
      </x:c>
    </x:row>
    <x:row r="65">
      <x:c r="A65" s="27" t="str">
        <x:v>feeser_s_inc</x:v>
      </x:c>
      <x:c r="B65" s="27" t="str">
        <x:v>Feeser's, Inc.</x:v>
      </x:c>
      <x:c r="C65" s="27" t="str"/>
      <x:c r="D65" s="27" t="str">
        <x:v>Direct foodservice distributor</x:v>
      </x:c>
      <x:c r="E65" s="27" t="str">
        <x:v>Broadline</x:v>
      </x:c>
      <x:c r="F65" s="27" t="str">
        <x:v>Active</x:v>
      </x:c>
      <x:c r="G65" s="27" t="str"/>
      <x:c r="H65" s="27" t="str">
        <x:v>United States</x:v>
      </x:c>
      <x:c r="I65" s="27" t="str">
        <x:v>US</x:v>
      </x:c>
      <x:c r="J65" s="27" t="str"/>
      <x:c r="K65" s="27" t="str">
        <x:v>Multi-regional</x:v>
      </x:c>
      <x:c r="L65" s="27" t="str">
        <x:v>Pennsylvania, New Jersey, Delaware, Maryland, New York, Virginia, West Virginia, District of Columbia</x:v>
      </x:c>
      <x:c r="M65" s="27" t="str">
        <x:v>PA,NJ,DE,MD,NY,VA,WV,DC</x:v>
      </x:c>
      <x:c r="N65" s="27" t="str">
        <x:v>Published Mid-Atlantic and neighboring Northeast service territory.</x:v>
      </x:c>
      <x:c r="O65" s="27" t="str">
        <x:v>https://www.feesers.com</x:v>
      </x:c>
      <x:c r="P65" s="27" t="str">
        <x:v>feesers.com</x:v>
      </x:c>
      <x:c r="Q65" s="27"/>
      <x:c r="R65" s="27" t="str"/>
      <x:c r="S65" s="27" t="str">
        <x:v>Ordering portal not publicly verified</x:v>
      </x:c>
      <x:c r="T65" s="27"/>
      <x:c r="U65" s="27" t="str">
        <x:v>No public template located in this pass</x:v>
      </x:c>
      <x:c r="V65" s="27" t="str">
        <x:v>IFDA 2026</x:v>
      </x:c>
      <x:c r="W65" s="27" t="str">
        <x:v>https://ifdaonline.org/distributor-members/</x:v>
      </x:c>
      <x:c r="X65" s="27" t="str">
        <x:v>https://www.feesers.com</x:v>
      </x:c>
      <x:c r="Y65" s="54" t="n">
        <x:v>46217</x:v>
      </x:c>
      <x:c r="Z65" s="27" t="str">
        <x:v>High</x:v>
      </x:c>
      <x:c r="AA65" s="27" t="str">
        <x:v>Approved seed</x:v>
      </x:c>
      <x:c r="AB65" s="27" t="str">
        <x:v>No</x:v>
      </x:c>
      <x:c r="AC65" s="27" t="str">
        <x:v>Direct website verified from directory/source; customer ordering route requires additional account-level or site-specific verification.</x:v>
      </x:c>
    </x:row>
    <x:row r="66">
      <x:c r="A66" s="27" t="str">
        <x:v>food_supply_inc</x:v>
      </x:c>
      <x:c r="B66" s="27" t="str">
        <x:v>Food Supply, Inc.</x:v>
      </x:c>
      <x:c r="C66" s="27" t="str"/>
      <x:c r="D66" s="27" t="str">
        <x:v>Direct foodservice distributor</x:v>
      </x:c>
      <x:c r="E66" s="27" t="str">
        <x:v>Broadline / specialty</x:v>
      </x:c>
      <x:c r="F66" s="27" t="str">
        <x:v>Active</x:v>
      </x:c>
      <x:c r="G66" s="27" t="str"/>
      <x:c r="H66" s="27" t="str">
        <x:v>United States</x:v>
      </x:c>
      <x:c r="I66" s="27" t="str">
        <x:v>US</x:v>
      </x:c>
      <x:c r="J66" s="27" t="str"/>
      <x:c r="K66" s="27" t="str">
        <x:v>Regional</x:v>
      </x:c>
      <x:c r="L66" s="27" t="str">
        <x:v>South Carolina, North Carolina, Georgia</x:v>
      </x:c>
      <x:c r="M66" s="27" t="str">
        <x:v>SC,NC,GA</x:v>
      </x:c>
      <x:c r="N66" s="27" t="str">
        <x:v>Carolinas-centered regional distribution.</x:v>
      </x:c>
      <x:c r="O66" s="27" t="str">
        <x:v>https://www.foodsupply.com</x:v>
      </x:c>
      <x:c r="P66" s="27" t="str">
        <x:v>foodsupply.com</x:v>
      </x:c>
      <x:c r="Q66" s="27"/>
      <x:c r="R66" s="27" t="str"/>
      <x:c r="S66" s="27" t="str">
        <x:v>Ordering portal not publicly verified</x:v>
      </x:c>
      <x:c r="T66" s="27"/>
      <x:c r="U66" s="27" t="str">
        <x:v>No public template located in this pass</x:v>
      </x:c>
      <x:c r="V66" s="27" t="str">
        <x:v>IFDA 2026</x:v>
      </x:c>
      <x:c r="W66" s="27" t="str">
        <x:v>https://ifdaonline.org/distributor-members/</x:v>
      </x:c>
      <x:c r="X66" s="27" t="str">
        <x:v>https://www.foodsupply.com</x:v>
      </x:c>
      <x:c r="Y66" s="54" t="n">
        <x:v>46217</x:v>
      </x:c>
      <x:c r="Z66" s="27" t="str">
        <x:v>Low</x:v>
      </x:c>
      <x:c r="AA66" s="27" t="str">
        <x:v>Review before seed</x:v>
      </x:c>
      <x:c r="AB66" s="27" t="str">
        <x:v>No</x:v>
      </x:c>
      <x:c r="AC66" s="27" t="str">
        <x:v>Direct website verified from directory/source; customer ordering route requires additional account-level or site-specific verification.</x:v>
      </x:c>
    </x:row>
    <x:row r="67">
      <x:c r="A67" s="27" t="str">
        <x:v>foodist</x:v>
      </x:c>
      <x:c r="B67" s="27" t="str">
        <x:v>Foodist</x:v>
      </x:c>
      <x:c r="C67" s="27" t="str"/>
      <x:c r="D67" s="27" t="str">
        <x:v>Online / e-commerce purveyor</x:v>
      </x:c>
      <x:c r="E67" s="27" t="str">
        <x:v>Online / specialty</x:v>
      </x:c>
      <x:c r="F67" s="27" t="str">
        <x:v>Active</x:v>
      </x:c>
      <x:c r="G67" s="27" t="str"/>
      <x:c r="H67" s="27" t="str">
        <x:v>United States</x:v>
      </x:c>
      <x:c r="I67" s="27" t="str">
        <x:v>US</x:v>
      </x:c>
      <x:c r="J67" s="27" t="str"/>
      <x:c r="K67" s="27" t="str">
        <x:v>Online nationwide</x:v>
      </x:c>
      <x:c r="L67" s="27"/>
      <x:c r="M67" s="27"/>
      <x:c r="N67" s="27" t="str">
        <x:v>Online specialty ordering; confirm shipping availability, freight class and minimums by ZIP.</x:v>
      </x:c>
      <x:c r="O67" s="27" t="str">
        <x:v>https://efoodist.com</x:v>
      </x:c>
      <x:c r="P67" s="27" t="str">
        <x:v>efoodist.com</x:v>
      </x:c>
      <x:c r="Q67" s="27"/>
      <x:c r="R67" s="27" t="str"/>
      <x:c r="S67" s="27" t="str">
        <x:v>Ordering portal not publicly verified</x:v>
      </x:c>
      <x:c r="T67" s="27"/>
      <x:c r="U67" s="27" t="str">
        <x:v>No public template located in this pass</x:v>
      </x:c>
      <x:c r="V67" s="27" t="str">
        <x:v>IFDA 2026</x:v>
      </x:c>
      <x:c r="W67" s="27" t="str">
        <x:v>https://ifdaonline.org/distributor-members/</x:v>
      </x:c>
      <x:c r="X67" s="27" t="str">
        <x:v>https://efoodist.com</x:v>
      </x:c>
      <x:c r="Y67" s="54" t="n">
        <x:v>46217</x:v>
      </x:c>
      <x:c r="Z67" s="27" t="str">
        <x:v>Medium</x:v>
      </x:c>
      <x:c r="AA67" s="27" t="str">
        <x:v>Approved seed</x:v>
      </x:c>
      <x:c r="AB67" s="27" t="str">
        <x:v>No</x:v>
      </x:c>
      <x:c r="AC67" s="27" t="str">
        <x:v>Direct website verified from directory/source; customer ordering route requires additional account-level or site-specific verification.</x:v>
      </x:c>
    </x:row>
    <x:row r="68">
      <x:c r="A68" s="27" t="str">
        <x:v>foodpro</x:v>
      </x:c>
      <x:c r="B68" s="27" t="str">
        <x:v>FoodPRO</x:v>
      </x:c>
      <x:c r="C68" s="27" t="str"/>
      <x:c r="D68" s="27" t="str">
        <x:v>Direct foodservice distributor</x:v>
      </x:c>
      <x:c r="E68" s="27" t="str">
        <x:v>Broadline</x:v>
      </x:c>
      <x:c r="F68" s="27" t="str">
        <x:v>Active</x:v>
      </x:c>
      <x:c r="G68" s="27" t="str"/>
      <x:c r="H68" s="27" t="str">
        <x:v>United States</x:v>
      </x:c>
      <x:c r="I68" s="27" t="str">
        <x:v>US</x:v>
      </x:c>
      <x:c r="J68" s="27" t="str"/>
      <x:c r="K68" s="27" t="str">
        <x:v>Regional</x:v>
      </x:c>
      <x:c r="L68" s="27" t="str">
        <x:v>Maryland, Virginia, Pennsylvania, West Virginia, District of Columbia</x:v>
      </x:c>
      <x:c r="M68" s="27" t="str">
        <x:v>MD,VA,PA,WV,DC</x:v>
      </x:c>
      <x:c r="N68" s="27" t="str">
        <x:v>Mid-Atlantic foodservice distribution.</x:v>
      </x:c>
      <x:c r="O68" s="27" t="str">
        <x:v>https://www.myfoodpro.com</x:v>
      </x:c>
      <x:c r="P68" s="27" t="str">
        <x:v>myfoodpro.com</x:v>
      </x:c>
      <x:c r="Q68" s="27"/>
      <x:c r="R68" s="27" t="str"/>
      <x:c r="S68" s="27" t="str">
        <x:v>Ordering portal not publicly verified</x:v>
      </x:c>
      <x:c r="T68" s="27"/>
      <x:c r="U68" s="27" t="str">
        <x:v>No public template located in this pass</x:v>
      </x:c>
      <x:c r="V68" s="27" t="str">
        <x:v>IFDA 2026</x:v>
      </x:c>
      <x:c r="W68" s="27" t="str">
        <x:v>https://ifdaonline.org/distributor-members/</x:v>
      </x:c>
      <x:c r="X68" s="27" t="str">
        <x:v>https://www.myfoodpro.com</x:v>
      </x:c>
      <x:c r="Y68" s="54" t="n">
        <x:v>46217</x:v>
      </x:c>
      <x:c r="Z68" s="27" t="str">
        <x:v>Low</x:v>
      </x:c>
      <x:c r="AA68" s="27" t="str">
        <x:v>Review before seed</x:v>
      </x:c>
      <x:c r="AB68" s="27" t="str">
        <x:v>No</x:v>
      </x:c>
      <x:c r="AC68" s="27" t="str">
        <x:v>Direct website verified from directory/source; customer ordering route requires additional account-level or site-specific verification.</x:v>
      </x:c>
    </x:row>
    <x:row r="69">
      <x:c r="A69" s="27" t="str">
        <x:v>foodservicedirect</x:v>
      </x:c>
      <x:c r="B69" s="27" t="str">
        <x:v>FoodServiceDirect</x:v>
      </x:c>
      <x:c r="C69" s="27" t="str"/>
      <x:c r="D69" s="27" t="str">
        <x:v>Online / e-commerce purveyor</x:v>
      </x:c>
      <x:c r="E69" s="27" t="str">
        <x:v>Online foodservice retailer</x:v>
      </x:c>
      <x:c r="F69" s="27" t="str">
        <x:v>Active</x:v>
      </x:c>
      <x:c r="G69" s="27" t="str"/>
      <x:c r="H69" s="27" t="str">
        <x:v>United States</x:v>
      </x:c>
      <x:c r="I69" s="27" t="str">
        <x:v>US</x:v>
      </x:c>
      <x:c r="J69" s="27" t="str"/>
      <x:c r="K69" s="27" t="str">
        <x:v>Online nationwide</x:v>
      </x:c>
      <x:c r="L69" s="27"/>
      <x:c r="M69" s="27"/>
      <x:c r="N69" s="27" t="str">
        <x:v>Online foodservice retailer; shipping method, temperature controls and availability vary by ZIP.</x:v>
      </x:c>
      <x:c r="O69" s="27" t="str">
        <x:v>https://www.foodservicedirect.com</x:v>
      </x:c>
      <x:c r="P69" s="27" t="str">
        <x:v>foodservicedirect.com</x:v>
      </x:c>
      <x:c r="Q69" s="27" t="str">
        <x:v>https://www.foodservicedirect.com/</x:v>
      </x:c>
      <x:c r="R69" s="27" t="str">
        <x:v>public_ecommerce</x:v>
      </x:c>
      <x:c r="S69" s="27" t="str">
        <x:v>Public e-commerce storefront</x:v>
      </x:c>
      <x:c r="T69" s="27"/>
      <x:c r="U69" s="27" t="str">
        <x:v>No vendor-order import template found</x:v>
      </x:c>
      <x:c r="V69" s="27" t="str">
        <x:v>Supplemental research</x:v>
      </x:c>
      <x:c r="W69" s="27" t="str">
        <x:v>https://www.foodservicedirect.com/</x:v>
      </x:c>
      <x:c r="X69" s="27" t="str">
        <x:v>https://www.foodservicedirect.com</x:v>
      </x:c>
      <x:c r="Y69" s="54" t="n">
        <x:v>46217</x:v>
      </x:c>
      <x:c r="Z69" s="27" t="str">
        <x:v>High</x:v>
      </x:c>
      <x:c r="AA69" s="27" t="str">
        <x:v>Approved seed</x:v>
      </x:c>
      <x:c r="AB69" s="27" t="str">
        <x:v>No</x:v>
      </x:c>
      <x:c r="AC69" s="27" t="str">
        <x:v>Open online ordering; not a traditional account-rep broadliner.</x:v>
      </x:c>
    </x:row>
    <x:row r="70">
      <x:c r="A70" s="27" t="str">
        <x:v>freshpoint</x:v>
      </x:c>
      <x:c r="B70" s="27" t="str">
        <x:v>FreshPoint</x:v>
      </x:c>
      <x:c r="C70" s="27" t="str"/>
      <x:c r="D70" s="27" t="str">
        <x:v>Direct foodservice distributor</x:v>
      </x:c>
      <x:c r="E70" s="27" t="str">
        <x:v>Produce / Sysco subsidiary</x:v>
      </x:c>
      <x:c r="F70" s="27" t="str">
        <x:v>Active subsidiary / operating brand</x:v>
      </x:c>
      <x:c r="G70" s="27" t="str">
        <x:v>Sysco Corporation</x:v>
      </x:c>
      <x:c r="H70" s="27" t="str">
        <x:v>United States</x:v>
      </x:c>
      <x:c r="I70" s="27" t="str">
        <x:v>US</x:v>
      </x:c>
      <x:c r="J70" s="27" t="str"/>
      <x:c r="K70" s="27" t="str">
        <x:v>Multi-regional</x:v>
      </x:c>
      <x:c r="L70" s="27" t="str">
        <x:v>Arizona, California, Colorado, Florida, Georgia, North Carolina, South Carolina, Tennessee, Texas, Washington</x:v>
      </x:c>
      <x:c r="M70" s="27" t="str">
        <x:v>AZ,CA,CO,FL,GA,NC,SC,TN,TX,WA</x:v>
      </x:c>
      <x:c r="N70" s="27" t="str">
        <x:v>Produce-distribution operating companies in selected markets across the United States.</x:v>
      </x:c>
      <x:c r="O70" s="27" t="str">
        <x:v>https://www.freshpoint.com</x:v>
      </x:c>
      <x:c r="P70" s="27" t="str">
        <x:v>freshpoint.com</x:v>
      </x:c>
      <x:c r="Q70" s="27" t="str">
        <x:v>https://myfreshpoint.com/</x:v>
      </x:c>
      <x:c r="R70" s="27" t="str">
        <x:v>my_freshpoint</x:v>
      </x:c>
      <x:c r="S70" s="27" t="str">
        <x:v>Verified direct customer portal</x:v>
      </x:c>
      <x:c r="T70" s="27" t="str">
        <x:v>https://www.freshpoint.com/wp-content/uploads/2018/10/myfreshpoint_QuickTipGuide.pdf</x:v>
      </x:c>
      <x:c r="U70" s="27" t="str">
        <x:v>Official ordering/order-guide quick guide (not blank template)</x:v>
      </x:c>
      <x:c r="V70" s="27" t="str">
        <x:v>Supplemental research</x:v>
      </x:c>
      <x:c r="W70" s="27" t="str">
        <x:v>https://www.freshpoint.com/centralflorida/</x:v>
      </x:c>
      <x:c r="X70" s="27" t="str">
        <x:v>https://www.freshpoint.com/locations/</x:v>
      </x:c>
      <x:c r="Y70" s="54" t="n">
        <x:v>46217</x:v>
      </x:c>
      <x:c r="Z70" s="27" t="str">
        <x:v>Medium</x:v>
      </x:c>
      <x:c r="AA70" s="27" t="str">
        <x:v>Approved seed</x:v>
      </x:c>
      <x:c r="AB70" s="27" t="str">
        <x:v>No</x:v>
      </x:c>
      <x:c r="AC70" s="27" t="str">
        <x:v>Sysco-owned produce distributor; MyFreshPoint supports order guides and inventory sheets.</x:v>
      </x:c>
    </x:row>
    <x:row r="71">
      <x:c r="A71" s="27" t="str">
        <x:v>frosty_acres_brands</x:v>
      </x:c>
      <x:c r="B71" s="27" t="str">
        <x:v>Frosty Acres Brands</x:v>
      </x:c>
      <x:c r="C71" s="27" t="str"/>
      <x:c r="D71" s="27" t="str">
        <x:v>Distributor network / cooperative</x:v>
      </x:c>
      <x:c r="E71" s="27" t="str">
        <x:v>Distributor cooperative</x:v>
      </x:c>
      <x:c r="F71" s="27" t="str">
        <x:v>Active</x:v>
      </x:c>
      <x:c r="G71" s="27" t="str"/>
      <x:c r="H71" s="27" t="str">
        <x:v>United States</x:v>
      </x:c>
      <x:c r="I71" s="27" t="str">
        <x:v>US</x:v>
      </x:c>
      <x:c r="J71" s="27" t="str"/>
      <x:c r="K71" s="27" t="str">
        <x:v>Distributor network</x:v>
      </x:c>
      <x:c r="L71" s="27"/>
      <x:c r="M71" s="27"/>
      <x:c r="N71" s="27" t="str">
        <x:v>Independent distributor cooperative with members searchable by state.</x:v>
      </x:c>
      <x:c r="O71" s="27" t="str">
        <x:v>https://www.frostyacres.com</x:v>
      </x:c>
      <x:c r="P71" s="27" t="str">
        <x:v>frostyacres.com</x:v>
      </x:c>
      <x:c r="Q71" s="27"/>
      <x:c r="R71" s="27" t="str"/>
      <x:c r="S71" s="27" t="str">
        <x:v>Network/cooperative — not an operator ordering portal</x:v>
      </x:c>
      <x:c r="T71" s="27"/>
      <x:c r="U71" s="27" t="str">
        <x:v>No public template located in this pass</x:v>
      </x:c>
      <x:c r="V71" s="27" t="str">
        <x:v>IFDA 2026</x:v>
      </x:c>
      <x:c r="W71" s="27" t="str">
        <x:v>https://ifdaonline.org/distributor-members/</x:v>
      </x:c>
      <x:c r="X71" s="27" t="str">
        <x:v>https://frostyacres.com/distributors</x:v>
      </x:c>
      <x:c r="Y71" s="54" t="n">
        <x:v>46217</x:v>
      </x:c>
      <x:c r="Z71" s="27" t="str">
        <x:v>High</x:v>
      </x:c>
      <x:c r="AA71" s="27" t="str">
        <x:v>Reference only</x:v>
      </x:c>
      <x:c r="AB71" s="27" t="str">
        <x:v>No</x:v>
      </x:c>
      <x:c r="AC71" s="27" t="str">
        <x:v>Direct website verified from directory/source; customer ordering route requires additional account-level or site-specific verification.</x:v>
      </x:c>
    </x:row>
    <x:row r="72">
      <x:c r="A72" s="27" t="str">
        <x:v>fuchs_foodservice_pizza_specialties</x:v>
      </x:c>
      <x:c r="B72" s="27" t="str">
        <x:v>Fuchs Foodservice / Pizza Specialties</x:v>
      </x:c>
      <x:c r="C72" s="27" t="str"/>
      <x:c r="D72" s="27" t="str">
        <x:v>Direct foodservice distributor</x:v>
      </x:c>
      <x:c r="E72" s="27" t="str">
        <x:v>Pizza / specialty</x:v>
      </x:c>
      <x:c r="F72" s="27" t="str">
        <x:v>Active</x:v>
      </x:c>
      <x:c r="G72" s="27" t="str"/>
      <x:c r="H72" s="27" t="str">
        <x:v>United States</x:v>
      </x:c>
      <x:c r="I72" s="27" t="str">
        <x:v>US</x:v>
      </x:c>
      <x:c r="J72" s="27" t="str"/>
      <x:c r="K72" s="27" t="str">
        <x:v>Regional</x:v>
      </x:c>
      <x:c r="L72" s="27" t="str">
        <x:v>Wisconsin, Illinois, Minnesota, Iowa, Michigan</x:v>
      </x:c>
      <x:c r="M72" s="27" t="str">
        <x:v>WI,IL,MN,IA,MI</x:v>
      </x:c>
      <x:c r="N72" s="27" t="str">
        <x:v>Wisconsin-centered pizza and specialty distribution.</x:v>
      </x:c>
      <x:c r="O72" s="27" t="str">
        <x:v>https://pizzaspecialtiesinc.com</x:v>
      </x:c>
      <x:c r="P72" s="27" t="str">
        <x:v>pizzaspecialtiesinc.com</x:v>
      </x:c>
      <x:c r="Q72" s="27"/>
      <x:c r="R72" s="27" t="str"/>
      <x:c r="S72" s="27" t="str">
        <x:v>Ordering portal not publicly verified</x:v>
      </x:c>
      <x:c r="T72" s="27"/>
      <x:c r="U72" s="27" t="str">
        <x:v>No public template located in this pass</x:v>
      </x:c>
      <x:c r="V72" s="27" t="str">
        <x:v>IFDA 2026</x:v>
      </x:c>
      <x:c r="W72" s="27" t="str">
        <x:v>https://ifdaonline.org/distributor-members/</x:v>
      </x:c>
      <x:c r="X72" s="27" t="str">
        <x:v>https://pizzaspecialtiesinc.com</x:v>
      </x:c>
      <x:c r="Y72" s="54" t="n">
        <x:v>46217</x:v>
      </x:c>
      <x:c r="Z72" s="27" t="str">
        <x:v>Low</x:v>
      </x:c>
      <x:c r="AA72" s="27" t="str">
        <x:v>Review before seed</x:v>
      </x:c>
      <x:c r="AB72" s="27" t="str">
        <x:v>No</x:v>
      </x:c>
      <x:c r="AC72" s="27" t="str">
        <x:v>Direct website verified from directory/source; customer ordering route requires additional account-level or site-specific verification.</x:v>
      </x:c>
    </x:row>
    <x:row r="73">
      <x:c r="A73" s="27" t="str">
        <x:v>g_and_c_foods</x:v>
      </x:c>
      <x:c r="B73" s="27" t="str">
        <x:v>G &amp; C Foods</x:v>
      </x:c>
      <x:c r="C73" s="27" t="str"/>
      <x:c r="D73" s="27" t="str">
        <x:v>Redistributor</x:v>
      </x:c>
      <x:c r="E73" s="27" t="str">
        <x:v>Redistributor / specialty</x:v>
      </x:c>
      <x:c r="F73" s="27" t="str">
        <x:v>Active</x:v>
      </x:c>
      <x:c r="G73" s="27" t="str"/>
      <x:c r="H73" s="27" t="str">
        <x:v>United States</x:v>
      </x:c>
      <x:c r="I73" s="27" t="str">
        <x:v>US</x:v>
      </x:c>
      <x:c r="J73" s="27" t="str"/>
      <x:c r="K73" s="27" t="str">
        <x:v>National redistributor</x:v>
      </x:c>
      <x:c r="L73" s="27"/>
      <x:c r="M73" s="27"/>
      <x:c r="N73" s="27" t="str">
        <x:v>Redistributor serving foodservice distributors; not typically a direct restaurant account.</x:v>
      </x:c>
      <x:c r="O73" s="27" t="str">
        <x:v>https://gcfoods.com</x:v>
      </x:c>
      <x:c r="P73" s="27" t="str">
        <x:v>gcfoods.com</x:v>
      </x:c>
      <x:c r="Q73" s="27"/>
      <x:c r="R73" s="27" t="str"/>
      <x:c r="S73" s="27" t="str">
        <x:v>Ordering portal not publicly verified</x:v>
      </x:c>
      <x:c r="T73" s="27"/>
      <x:c r="U73" s="27" t="str">
        <x:v>No public template located in this pass</x:v>
      </x:c>
      <x:c r="V73" s="27" t="str">
        <x:v>IFDA 2026</x:v>
      </x:c>
      <x:c r="W73" s="27" t="str">
        <x:v>https://ifdaonline.org/distributor-members/</x:v>
      </x:c>
      <x:c r="X73" s="27" t="str">
        <x:v>https://gcfoods.com</x:v>
      </x:c>
      <x:c r="Y73" s="54" t="n">
        <x:v>46217</x:v>
      </x:c>
      <x:c r="Z73" s="27" t="str">
        <x:v>Medium</x:v>
      </x:c>
      <x:c r="AA73" s="27" t="str">
        <x:v>Reference only</x:v>
      </x:c>
      <x:c r="AB73" s="27" t="str">
        <x:v>No</x:v>
      </x:c>
      <x:c r="AC73" s="27" t="str">
        <x:v>Direct website verified from directory/source; customer ordering route requires additional account-level or site-specific verification.</x:v>
      </x:c>
    </x:row>
    <x:row r="74">
      <x:c r="A74" s="27" t="str">
        <x:v>ginsberg_s_foods</x:v>
      </x:c>
      <x:c r="B74" s="27" t="str">
        <x:v>Ginsberg's Foods</x:v>
      </x:c>
      <x:c r="C74" s="27" t="str"/>
      <x:c r="D74" s="27" t="str">
        <x:v>Direct foodservice distributor</x:v>
      </x:c>
      <x:c r="E74" s="27" t="str">
        <x:v>Broadline</x:v>
      </x:c>
      <x:c r="F74" s="27" t="str">
        <x:v>Active</x:v>
      </x:c>
      <x:c r="G74" s="27" t="str"/>
      <x:c r="H74" s="27" t="str">
        <x:v>United States</x:v>
      </x:c>
      <x:c r="I74" s="27" t="str">
        <x:v>US</x:v>
      </x:c>
      <x:c r="J74" s="27" t="str"/>
      <x:c r="K74" s="27" t="str">
        <x:v>Regional</x:v>
      </x:c>
      <x:c r="L74" s="27" t="str">
        <x:v>New York, Vermont, Massachusetts, Connecticut, Pennsylvania</x:v>
      </x:c>
      <x:c r="M74" s="27" t="str">
        <x:v>NY,VT,MA,CT,PA</x:v>
      </x:c>
      <x:c r="N74" s="27" t="str">
        <x:v>Eastern New York, southern Vermont, western Massachusetts, western/northwestern Connecticut and northeastern Pennsylvania.</x:v>
      </x:c>
      <x:c r="O74" s="27" t="str">
        <x:v>https://www.ginsbergs.com</x:v>
      </x:c>
      <x:c r="P74" s="27" t="str">
        <x:v>ginsbergs.com</x:v>
      </x:c>
      <x:c r="Q74" s="27" t="str">
        <x:v>https://ginsbergsorder.com/</x:v>
      </x:c>
      <x:c r="R74" s="27" t="str">
        <x:v>food_order_entry</x:v>
      </x:c>
      <x:c r="S74" s="27" t="str">
        <x:v>Verified direct customer portal</x:v>
      </x:c>
      <x:c r="T74" s="27"/>
      <x:c r="U74" s="27" t="str">
        <x:v>No public template found</x:v>
      </x:c>
      <x:c r="V74" s="27" t="str">
        <x:v>IFDA 2026</x:v>
      </x:c>
      <x:c r="W74" s="27" t="str">
        <x:v>https://ginsbergs.com/online-ordering/</x:v>
      </x:c>
      <x:c r="X74" s="27" t="str">
        <x:v>https://www.ginsbergs.com</x:v>
      </x:c>
      <x:c r="Y74" s="54" t="n">
        <x:v>46217</x:v>
      </x:c>
      <x:c r="Z74" s="27" t="str">
        <x:v>High</x:v>
      </x:c>
      <x:c r="AA74" s="27" t="str">
        <x:v>Approved seed</x:v>
      </x:c>
      <x:c r="AB74" s="27" t="str">
        <x:v>No</x:v>
      </x:c>
      <x:c r="AC74" s="27" t="str">
        <x:v>Ordering app/portal supports catalog search and ordering-guide management.</x:v>
      </x:c>
    </x:row>
    <x:row r="75">
      <x:c r="A75" s="27" t="str">
        <x:v>global_market_foods</x:v>
      </x:c>
      <x:c r="B75" s="27" t="str">
        <x:v>Global Market Foods</x:v>
      </x:c>
      <x:c r="C75" s="27" t="str">
        <x:v>GMF</x:v>
      </x:c>
      <x:c r="D75" s="27" t="str">
        <x:v>Direct foodservice distributor</x:v>
      </x:c>
      <x:c r="E75" s="27" t="str">
        <x:v>International and specialty food distribution</x:v>
      </x:c>
      <x:c r="F75" s="27" t="str">
        <x:v>Active</x:v>
      </x:c>
      <x:c r="G75" s="27" t="str"/>
      <x:c r="H75" s="27" t="str">
        <x:v>United States</x:v>
      </x:c>
      <x:c r="I75" s="27" t="str">
        <x:v>US</x:v>
      </x:c>
      <x:c r="J75" s="27" t="str">
        <x:v>Chicago, Illinois</x:v>
      </x:c>
      <x:c r="K75" s="27" t="str">
        <x:v>Multi-regional / North America</x:v>
      </x:c>
      <x:c r="L75" s="27" t="str">
        <x:v>Illinois, California, New Jersey, Texas; United States and Canada distribution</x:v>
      </x:c>
      <x:c r="M75" s="27" t="str">
        <x:v>IL,CA,NJ,TX</x:v>
      </x:c>
      <x:c r="N75" s="27" t="str">
        <x:v>Distribution centers across the United States and Canada.</x:v>
      </x:c>
      <x:c r="O75" s="27" t="str">
        <x:v>https://www.globalmarketfoods.com/</x:v>
      </x:c>
      <x:c r="P75" s="27" t="str">
        <x:v>globalmarketfoods.com</x:v>
      </x:c>
      <x:c r="Q75" s="27" t="str">
        <x:v>https://www.globalmarketfoods.com/retailers</x:v>
      </x:c>
      <x:c r="R75" s="27" t="str">
        <x:v>unknown_branded_portal</x:v>
      </x:c>
      <x:c r="S75" s="27" t="str">
        <x:v>Customer/retailer inquiry and app access</x:v>
      </x:c>
      <x:c r="T75" s="27" t="str"/>
      <x:c r="U75" s="27" t="str">
        <x:v>No public template located</x:v>
      </x:c>
      <x:c r="V75" s="27" t="str">
        <x:v>Frosty Acres 2025–2026 member</x:v>
      </x:c>
      <x:c r="W75" s="27" t="str">
        <x:v>https://www.frostyacres.com/news</x:v>
      </x:c>
      <x:c r="X75" s="27" t="str">
        <x:v>https://www.globalmarketfoods.com/contact</x:v>
      </x:c>
      <x:c r="Y75" s="54" t="n">
        <x:v>46217</x:v>
      </x:c>
      <x:c r="Z75" s="27" t="str">
        <x:v>High</x:v>
      </x:c>
      <x:c r="AA75" s="27" t="str">
        <x:v>Approved seed</x:v>
      </x:c>
      <x:c r="AB75" s="27" t="str">
        <x:v>Yes</x:v>
      </x:c>
      <x:c r="AC75" s="27" t="str"/>
    </x:row>
    <x:row r="76">
      <x:c r="A76" s="27" t="str">
        <x:v>gnb_wholesale</x:v>
      </x:c>
      <x:c r="B76" s="27" t="str">
        <x:v>GnB Wholesale</x:v>
      </x:c>
      <x:c r="C76" s="27" t="str">
        <x:v>G&amp;B Wholesale Foods | GNB Wholesale Foods</x:v>
      </x:c>
      <x:c r="D76" s="27" t="str">
        <x:v>Direct foodservice distributor</x:v>
      </x:c>
      <x:c r="E76" s="27" t="str">
        <x:v>Meat and broadline foodservice</x:v>
      </x:c>
      <x:c r="F76" s="27" t="str">
        <x:v>Active</x:v>
      </x:c>
      <x:c r="G76" s="27" t="str"/>
      <x:c r="H76" s="27" t="str">
        <x:v>United States</x:v>
      </x:c>
      <x:c r="I76" s="27" t="str">
        <x:v>US</x:v>
      </x:c>
      <x:c r="J76" s="27" t="str">
        <x:v>Long Beach, California</x:v>
      </x:c>
      <x:c r="K76" s="27" t="str">
        <x:v>Regional</x:v>
      </x:c>
      <x:c r="L76" s="27" t="str">
        <x:v>California</x:v>
      </x:c>
      <x:c r="M76" s="27" t="str">
        <x:v>CA</x:v>
      </x:c>
      <x:c r="N76" s="27" t="str">
        <x:v>Southern California-centered foodservice delivery.</x:v>
      </x:c>
      <x:c r="O76" s="27" t="str">
        <x:v>https://www.gnbwholesale.com/</x:v>
      </x:c>
      <x:c r="P76" s="27" t="str">
        <x:v>gnbwholesale.com</x:v>
      </x:c>
      <x:c r="Q76" s="27" t="str"/>
      <x:c r="R76" s="27" t="str"/>
      <x:c r="S76" s="27" t="str">
        <x:v>Ordering portal not publicly verified</x:v>
      </x:c>
      <x:c r="T76" s="27" t="str"/>
      <x:c r="U76" s="27" t="str">
        <x:v>No public template located</x:v>
      </x:c>
      <x:c r="V76" s="27" t="str">
        <x:v>Frosty Acres 2025–2026 member</x:v>
      </x:c>
      <x:c r="W76" s="27" t="str">
        <x:v>https://www.frostyacres.com/news/727e3445-2067-44e0-85cc-e95f0661123b</x:v>
      </x:c>
      <x:c r="X76" s="27" t="str">
        <x:v>https://www.gnbwholesale.com/</x:v>
      </x:c>
      <x:c r="Y76" s="54" t="n">
        <x:v>46217</x:v>
      </x:c>
      <x:c r="Z76" s="27" t="str">
        <x:v>High</x:v>
      </x:c>
      <x:c r="AA76" s="27" t="str">
        <x:v>Approved seed</x:v>
      </x:c>
      <x:c r="AB76" s="27" t="str">
        <x:v>Yes</x:v>
      </x:c>
      <x:c r="AC76" s="27" t="str"/>
    </x:row>
    <x:row r="77">
      <x:c r="A77" s="27" t="str">
        <x:v>golbon</x:v>
      </x:c>
      <x:c r="B77" s="27" t="str">
        <x:v>Golbon</x:v>
      </x:c>
      <x:c r="C77" s="27" t="str"/>
      <x:c r="D77" s="27" t="str">
        <x:v>Distributor network / cooperative</x:v>
      </x:c>
      <x:c r="E77" s="27" t="str">
        <x:v>Buying group / distributor network</x:v>
      </x:c>
      <x:c r="F77" s="27" t="str">
        <x:v>Active</x:v>
      </x:c>
      <x:c r="G77" s="27" t="str"/>
      <x:c r="H77" s="27" t="str">
        <x:v>United States</x:v>
      </x:c>
      <x:c r="I77" s="27" t="str">
        <x:v>US</x:v>
      </x:c>
      <x:c r="J77" s="27" t="str"/>
      <x:c r="K77" s="27" t="str">
        <x:v>Distributor network</x:v>
      </x:c>
      <x:c r="L77" s="27"/>
      <x:c r="M77" s="27"/>
      <x:c r="N77" s="27" t="str">
        <x:v>Independent distributor buying group; geographic matching should occur at member level.</x:v>
      </x:c>
      <x:c r="O77" s="27" t="str">
        <x:v>https://www.golbon.com</x:v>
      </x:c>
      <x:c r="P77" s="27" t="str">
        <x:v>golbon.com</x:v>
      </x:c>
      <x:c r="Q77" s="27"/>
      <x:c r="R77" s="27" t="str"/>
      <x:c r="S77" s="27" t="str">
        <x:v>Network/cooperative — not an operator ordering portal</x:v>
      </x:c>
      <x:c r="T77" s="27"/>
      <x:c r="U77" s="27" t="str">
        <x:v>No public template located in this pass</x:v>
      </x:c>
      <x:c r="V77" s="27" t="str">
        <x:v>IFDA 2026</x:v>
      </x:c>
      <x:c r="W77" s="27" t="str">
        <x:v>https://ifdaonline.org/distributor-members/</x:v>
      </x:c>
      <x:c r="X77" s="27" t="str">
        <x:v>https://www.golbon.com</x:v>
      </x:c>
      <x:c r="Y77" s="54" t="n">
        <x:v>46217</x:v>
      </x:c>
      <x:c r="Z77" s="27" t="str">
        <x:v>High</x:v>
      </x:c>
      <x:c r="AA77" s="27" t="str">
        <x:v>Reference only</x:v>
      </x:c>
      <x:c r="AB77" s="27" t="str">
        <x:v>No</x:v>
      </x:c>
      <x:c r="AC77" s="27" t="str">
        <x:v>Direct website verified from directory/source; customer ordering route requires additional account-level or site-specific verification.</x:v>
      </x:c>
    </x:row>
    <x:row r="78">
      <x:c r="A78" s="27" t="str">
        <x:v>gold_star_foods</x:v>
      </x:c>
      <x:c r="B78" s="27" t="str">
        <x:v>Gold Star Foods</x:v>
      </x:c>
      <x:c r="C78" s="27" t="str"/>
      <x:c r="D78" s="27" t="str">
        <x:v>Direct foodservice distributor</x:v>
      </x:c>
      <x:c r="E78" s="27" t="str">
        <x:v>K-12 / institutional</x:v>
      </x:c>
      <x:c r="F78" s="27" t="str">
        <x:v>Active</x:v>
      </x:c>
      <x:c r="G78" s="27" t="str"/>
      <x:c r="H78" s="27" t="str">
        <x:v>United States</x:v>
      </x:c>
      <x:c r="I78" s="27" t="str">
        <x:v>US</x:v>
      </x:c>
      <x:c r="J78" s="27" t="str"/>
      <x:c r="K78" s="27" t="str">
        <x:v>Multi-regional</x:v>
      </x:c>
      <x:c r="L78" s="27" t="str">
        <x:v>California, Arizona, Nevada, Texas, New Mexico</x:v>
      </x:c>
      <x:c r="M78" s="27" t="str">
        <x:v>CA,AZ,NV,TX,NM</x:v>
      </x:c>
      <x:c r="N78" s="27" t="str">
        <x:v>Institutional and K-12 distribution with a multi-state western and southern footprint.</x:v>
      </x:c>
      <x:c r="O78" s="27" t="str">
        <x:v>https://goldstarfoods.com</x:v>
      </x:c>
      <x:c r="P78" s="27" t="str">
        <x:v>goldstarfoods.com</x:v>
      </x:c>
      <x:c r="Q78" s="27"/>
      <x:c r="R78" s="27" t="str"/>
      <x:c r="S78" s="27" t="str">
        <x:v>Ordering portal not publicly verified</x:v>
      </x:c>
      <x:c r="T78" s="27"/>
      <x:c r="U78" s="27" t="str">
        <x:v>No public template located in this pass</x:v>
      </x:c>
      <x:c r="V78" s="27" t="str">
        <x:v>IFDA 2026</x:v>
      </x:c>
      <x:c r="W78" s="27" t="str">
        <x:v>https://ifdaonline.org/distributor-members/</x:v>
      </x:c>
      <x:c r="X78" s="27" t="str">
        <x:v>https://goldstarfoods.com</x:v>
      </x:c>
      <x:c r="Y78" s="54" t="n">
        <x:v>46217</x:v>
      </x:c>
      <x:c r="Z78" s="27" t="str">
        <x:v>Low</x:v>
      </x:c>
      <x:c r="AA78" s="27" t="str">
        <x:v>Review before seed</x:v>
      </x:c>
      <x:c r="AB78" s="27" t="str">
        <x:v>No</x:v>
      </x:c>
      <x:c r="AC78" s="27" t="str">
        <x:v>Direct website verified from directory/source; customer ordering route requires additional account-level or site-specific verification.</x:v>
      </x:c>
    </x:row>
    <x:row r="79">
      <x:c r="A79" s="27" t="str">
        <x:v>golden_egg_company</x:v>
      </x:c>
      <x:c r="B79" s="27" t="str">
        <x:v>Golden Egg Company</x:v>
      </x:c>
      <x:c r="C79" s="27" t="str"/>
      <x:c r="D79" s="27" t="str">
        <x:v>Direct foodservice distributor</x:v>
      </x:c>
      <x:c r="E79" s="27" t="str">
        <x:v>Egg, dairy and foodservice distribution</x:v>
      </x:c>
      <x:c r="F79" s="27" t="str">
        <x:v>Active</x:v>
      </x:c>
      <x:c r="G79" s="27" t="str"/>
      <x:c r="H79" s="27" t="str">
        <x:v>United States</x:v>
      </x:c>
      <x:c r="I79" s="27" t="str">
        <x:v>US</x:v>
      </x:c>
      <x:c r="J79" s="27" t="str">
        <x:v>San Leandro, California</x:v>
      </x:c>
      <x:c r="K79" s="27" t="str">
        <x:v>Regional</x:v>
      </x:c>
      <x:c r="L79" s="27" t="str">
        <x:v>California</x:v>
      </x:c>
      <x:c r="M79" s="27" t="str">
        <x:v>CA</x:v>
      </x:c>
      <x:c r="N79" s="27" t="str">
        <x:v>Northern California restaurants, grocers and institutions.</x:v>
      </x:c>
      <x:c r="O79" s="27" t="str">
        <x:v>https://www.goldeneggcompany.com/</x:v>
      </x:c>
      <x:c r="P79" s="27" t="str">
        <x:v>goldeneggcompany.com</x:v>
      </x:c>
      <x:c r="Q79" s="27" t="str">
        <x:v>https://www.goldeneggcompany.com/</x:v>
      </x:c>
      <x:c r="R79" s="27" t="str">
        <x:v>public_ecommerce</x:v>
      </x:c>
      <x:c r="S79" s="27" t="str">
        <x:v>Public product and app-based ordering information</x:v>
      </x:c>
      <x:c r="T79" s="27" t="str"/>
      <x:c r="U79" s="27" t="str">
        <x:v>No public template located</x:v>
      </x:c>
      <x:c r="V79" s="27" t="str">
        <x:v>Golbon current/recent member</x:v>
      </x:c>
      <x:c r="W79" s="27" t="str">
        <x:v>https://golbon.com/press/golbon-welcomes-new-member-golden-egg-company/</x:v>
      </x:c>
      <x:c r="X79" s="27" t="str">
        <x:v>https://www.goldeneggcompany.com/</x:v>
      </x:c>
      <x:c r="Y79" s="54" t="n">
        <x:v>46217</x:v>
      </x:c>
      <x:c r="Z79" s="27" t="str">
        <x:v>High</x:v>
      </x:c>
      <x:c r="AA79" s="27" t="str">
        <x:v>Approved seed</x:v>
      </x:c>
      <x:c r="AB79" s="27" t="str">
        <x:v>Yes</x:v>
      </x:c>
      <x:c r="AC79" s="27" t="str"/>
    </x:row>
    <x:row r="80">
      <x:c r="A80" s="27" t="str">
        <x:v>good_source_solutions_inc</x:v>
      </x:c>
      <x:c r="B80" s="27" t="str">
        <x:v>Good Source Solutions, Inc.</x:v>
      </x:c>
      <x:c r="C80" s="27" t="str"/>
      <x:c r="D80" s="27" t="str">
        <x:v>Redistributor</x:v>
      </x:c>
      <x:c r="E80" s="27" t="str">
        <x:v>Specialty / redistributor</x:v>
      </x:c>
      <x:c r="F80" s="27" t="str">
        <x:v>Active</x:v>
      </x:c>
      <x:c r="G80" s="27" t="str"/>
      <x:c r="H80" s="27" t="str">
        <x:v>United States</x:v>
      </x:c>
      <x:c r="I80" s="27" t="str">
        <x:v>US</x:v>
      </x:c>
      <x:c r="J80" s="27" t="str"/>
      <x:c r="K80" s="27" t="str">
        <x:v>National redistributor</x:v>
      </x:c>
      <x:c r="L80" s="27"/>
      <x:c r="M80" s="27"/>
      <x:c r="N80" s="27" t="str">
        <x:v>National specialty sourcing and redistribution; account and delivery model varies.</x:v>
      </x:c>
      <x:c r="O80" s="27" t="str">
        <x:v>https://goodsource.com</x:v>
      </x:c>
      <x:c r="P80" s="27" t="str">
        <x:v>goodsource.com</x:v>
      </x:c>
      <x:c r="Q80" s="27"/>
      <x:c r="R80" s="27" t="str"/>
      <x:c r="S80" s="27" t="str">
        <x:v>Ordering portal not publicly verified</x:v>
      </x:c>
      <x:c r="T80" s="27"/>
      <x:c r="U80" s="27" t="str">
        <x:v>No public template located in this pass</x:v>
      </x:c>
      <x:c r="V80" s="27" t="str">
        <x:v>IFDA 2026</x:v>
      </x:c>
      <x:c r="W80" s="27" t="str">
        <x:v>https://ifdaonline.org/distributor-members/</x:v>
      </x:c>
      <x:c r="X80" s="27" t="str">
        <x:v>https://goodsource.com</x:v>
      </x:c>
      <x:c r="Y80" s="54" t="n">
        <x:v>46217</x:v>
      </x:c>
      <x:c r="Z80" s="27" t="str">
        <x:v>Medium</x:v>
      </x:c>
      <x:c r="AA80" s="27" t="str">
        <x:v>Reference only</x:v>
      </x:c>
      <x:c r="AB80" s="27" t="str">
        <x:v>No</x:v>
      </x:c>
      <x:c r="AC80" s="27" t="str">
        <x:v>Direct website verified from directory/source; customer ordering route requires additional account-level or site-specific verification.</x:v>
      </x:c>
    </x:row>
    <x:row r="81">
      <x:c r="A81" s="27" t="str">
        <x:v>gordon_food_service</x:v>
      </x:c>
      <x:c r="B81" s="27" t="str">
        <x:v>Gordon Food Service</x:v>
      </x:c>
      <x:c r="C81" s="27" t="str">
        <x:v>GFS</x:v>
      </x:c>
      <x:c r="D81" s="27" t="str">
        <x:v>Direct foodservice distributor</x:v>
      </x:c>
      <x:c r="E81" s="27" t="str">
        <x:v>National broadline</x:v>
      </x:c>
      <x:c r="F81" s="27" t="str">
        <x:v>Active</x:v>
      </x:c>
      <x:c r="G81" s="27" t="str"/>
      <x:c r="H81" s="27" t="str">
        <x:v>United States</x:v>
      </x:c>
      <x:c r="I81" s="27" t="str">
        <x:v>US</x:v>
      </x:c>
      <x:c r="J81" s="27" t="str"/>
      <x:c r="K81" s="27" t="str">
        <x:v>Multi-regional</x:v>
      </x:c>
      <x:c r="L81" s="27" t="str">
        <x:v>Alabama, Florida, Georgia, Illinois, Indiana, Kentucky, Maryland, Michigan, Missouri, North Carolina, New York, Ohio, Pennsylvania, South Carolina, Tennessee, Texas, Wisconsin</x:v>
      </x:c>
      <x:c r="M81" s="27" t="str">
        <x:v>AL,FL,GA,IL,IN,KY,MD,MI,MO,NC,NY,OH,PA,SC,TN,TX,WI</x:v>
      </x:c>
      <x:c r="N81" s="27" t="str">
        <x:v>Large multi-regional footprint supported by distribution centers and service markets across the eastern and central U.S.</x:v>
      </x:c>
      <x:c r="O81" s="27" t="str">
        <x:v>https://www.gfs.com</x:v>
      </x:c>
      <x:c r="P81" s="27" t="str">
        <x:v>gfs.com</x:v>
      </x:c>
      <x:c r="Q81" s="27" t="str">
        <x:v>https://gfs.com/en-us/products-services/technology-solutions/gordon-ordering/</x:v>
      </x:c>
      <x:c r="R81" s="27" t="str"/>
      <x:c r="S81" s="27" t="str">
        <x:v>Verified ordering platform landing page</x:v>
      </x:c>
      <x:c r="T81" s="27" t="str">
        <x:v>https://costguard.zendesk.com/hc/en-us/articles/235436388-Sysco-GFS-PFG-Reinhart-USF-and-Ben-E-Keith-Order-Guides-Importing-and-Exporting</x:v>
      </x:c>
      <x:c r="U81" s="27" t="str">
        <x:v>Sample CSV/order-guide format (third party)</x:v>
      </x:c>
      <x:c r="V81" s="27" t="str">
        <x:v>IFDA 2026</x:v>
      </x:c>
      <x:c r="W81" s="27" t="str">
        <x:v>https://gfs.com/en-us/ideas/gordon-ordering-quick-start-guide/</x:v>
      </x:c>
      <x:c r="X81" s="27" t="str">
        <x:v>https://gfs.com/en-us/about-us/our-locations/</x:v>
      </x:c>
      <x:c r="Y81" s="54" t="n">
        <x:v>46217</x:v>
      </x:c>
      <x:c r="Z81" s="27" t="str">
        <x:v>Medium</x:v>
      </x:c>
      <x:c r="AA81" s="27" t="str">
        <x:v>Approved seed</x:v>
      </x:c>
      <x:c r="AB81" s="27" t="str">
        <x:v>No</x:v>
      </x:c>
      <x:c r="AC81" s="27" t="str">
        <x:v>GFS customers can request an 832 order guide; no official public blank template found.</x:v>
      </x:c>
    </x:row>
    <x:row r="82">
      <x:c r="A82" s="27" t="str">
        <x:v>gourmet_foods_international</x:v>
      </x:c>
      <x:c r="B82" s="27" t="str">
        <x:v>Gourmet Foods International</x:v>
      </x:c>
      <x:c r="C82" s="27" t="str"/>
      <x:c r="D82" s="27" t="str">
        <x:v>Direct foodservice distributor</x:v>
      </x:c>
      <x:c r="E82" s="27" t="str">
        <x:v>Specialty foods</x:v>
      </x:c>
      <x:c r="F82" s="27" t="str">
        <x:v>Active</x:v>
      </x:c>
      <x:c r="G82" s="27" t="str"/>
      <x:c r="H82" s="27" t="str">
        <x:v>United States</x:v>
      </x:c>
      <x:c r="I82" s="27" t="str">
        <x:v>US</x:v>
      </x:c>
      <x:c r="J82" s="27" t="str"/>
      <x:c r="K82" s="27" t="str">
        <x:v>Multi-regional</x:v>
      </x:c>
      <x:c r="L82" s="27" t="str">
        <x:v>Georgia, California, Florida, Texas, New Jersey, Massachusetts, Illinois, Washington, Colorado</x:v>
      </x:c>
      <x:c r="M82" s="27" t="str">
        <x:v>GA,CA,FL,TX,NJ,MA,IL,WA,CO</x:v>
      </x:c>
      <x:c r="N82" s="27" t="str">
        <x:v>Specialty-food distribution through multiple U.S. distribution centers.</x:v>
      </x:c>
      <x:c r="O82" s="27" t="str">
        <x:v>https://www.gfifoods.com</x:v>
      </x:c>
      <x:c r="P82" s="27" t="str">
        <x:v>gfifoods.com</x:v>
      </x:c>
      <x:c r="Q82" s="27" t="str">
        <x:v>https://www.gfifoods.com/customer/account/</x:v>
      </x:c>
      <x:c r="R82" s="27" t="str"/>
      <x:c r="S82" s="27" t="str">
        <x:v>Verified direct customer portal</x:v>
      </x:c>
      <x:c r="T82" s="27"/>
      <x:c r="U82" s="27" t="str">
        <x:v>No public template found</x:v>
      </x:c>
      <x:c r="V82" s="27" t="str">
        <x:v>Supplemental research</x:v>
      </x:c>
      <x:c r="W82" s="27" t="str">
        <x:v>https://www.gfifoods.com/customers</x:v>
      </x:c>
      <x:c r="X82" s="27" t="str">
        <x:v>https://www.gfifoods.com/locations</x:v>
      </x:c>
      <x:c r="Y82" s="54" t="n">
        <x:v>46217</x:v>
      </x:c>
      <x:c r="Z82" s="27" t="str">
        <x:v>Medium</x:v>
      </x:c>
      <x:c r="AA82" s="27" t="str">
        <x:v>Approved seed</x:v>
      </x:c>
      <x:c r="AB82" s="27" t="str">
        <x:v>No</x:v>
      </x:c>
      <x:c r="AC82" s="27" t="str">
        <x:v>Online ordering and shipment status are available to registered customers.</x:v>
      </x:c>
    </x:row>
    <x:row r="83">
      <x:c r="A83" s="27" t="str">
        <x:v>graves_foods_menu_maker_foods</x:v>
      </x:c>
      <x:c r="B83" s="27" t="str">
        <x:v>Graves Foods / Menu Maker Foods</x:v>
      </x:c>
      <x:c r="C83" s="27" t="str"/>
      <x:c r="D83" s="27" t="str">
        <x:v>Direct foodservice distributor</x:v>
      </x:c>
      <x:c r="E83" s="27" t="str">
        <x:v>Broadline</x:v>
      </x:c>
      <x:c r="F83" s="27" t="str">
        <x:v>Active</x:v>
      </x:c>
      <x:c r="G83" s="27" t="str"/>
      <x:c r="H83" s="27" t="str">
        <x:v>United States</x:v>
      </x:c>
      <x:c r="I83" s="27" t="str">
        <x:v>US</x:v>
      </x:c>
      <x:c r="J83" s="27" t="str"/>
      <x:c r="K83" s="27" t="str">
        <x:v>Regional</x:v>
      </x:c>
      <x:c r="L83" s="27" t="str">
        <x:v>Kansas, Missouri, Nebraska, Oklahoma, Iowa</x:v>
      </x:c>
      <x:c r="M83" s="27" t="str">
        <x:v>KS,MO,NE,OK,IA</x:v>
      </x:c>
      <x:c r="N83" s="27" t="str">
        <x:v>Kansas-centered regional foodservice distribution.</x:v>
      </x:c>
      <x:c r="O83" s="27" t="str">
        <x:v>https://www.menumakerfoods.com</x:v>
      </x:c>
      <x:c r="P83" s="27" t="str">
        <x:v>menumakerfoods.com</x:v>
      </x:c>
      <x:c r="Q83" s="27"/>
      <x:c r="R83" s="27" t="str"/>
      <x:c r="S83" s="27" t="str">
        <x:v>Ordering portal not publicly verified</x:v>
      </x:c>
      <x:c r="T83" s="27"/>
      <x:c r="U83" s="27" t="str">
        <x:v>No public template located in this pass</x:v>
      </x:c>
      <x:c r="V83" s="27" t="str">
        <x:v>IFDA 2026</x:v>
      </x:c>
      <x:c r="W83" s="27" t="str">
        <x:v>https://ifdaonline.org/distributor-members/</x:v>
      </x:c>
      <x:c r="X83" s="27" t="str">
        <x:v>https://www.menumakerfoods.com</x:v>
      </x:c>
      <x:c r="Y83" s="54" t="n">
        <x:v>46217</x:v>
      </x:c>
      <x:c r="Z83" s="27" t="str">
        <x:v>Low</x:v>
      </x:c>
      <x:c r="AA83" s="27" t="str">
        <x:v>Review before seed</x:v>
      </x:c>
      <x:c r="AB83" s="27" t="str">
        <x:v>No</x:v>
      </x:c>
      <x:c r="AC83" s="27" t="str">
        <x:v>Direct website verified from directory/source; customer ordering route requires additional account-level or site-specific verification.</x:v>
      </x:c>
    </x:row>
    <x:row r="84">
      <x:c r="A84" s="27" t="str">
        <x:v>gs_foods_group</x:v>
      </x:c>
      <x:c r="B84" s="27" t="str">
        <x:v>GS Foods Group</x:v>
      </x:c>
      <x:c r="C84" s="27" t="str"/>
      <x:c r="D84" s="27" t="str">
        <x:v>Direct foodservice distributor</x:v>
      </x:c>
      <x:c r="E84" s="27" t="str">
        <x:v>K-12 / institutional</x:v>
      </x:c>
      <x:c r="F84" s="27" t="str">
        <x:v>Active</x:v>
      </x:c>
      <x:c r="G84" s="27" t="str"/>
      <x:c r="H84" s="27" t="str">
        <x:v>United States</x:v>
      </x:c>
      <x:c r="I84" s="27" t="str">
        <x:v>US</x:v>
      </x:c>
      <x:c r="J84" s="27" t="str"/>
      <x:c r="K84" s="27" t="str">
        <x:v>Multi-regional</x:v>
      </x:c>
      <x:c r="L84" s="27" t="str">
        <x:v>California, Arizona, Nevada, Texas, New Mexico, Missouri</x:v>
      </x:c>
      <x:c r="M84" s="27" t="str">
        <x:v>CA,AZ,NV,TX,NM,MO</x:v>
      </x:c>
      <x:c r="N84" s="27" t="str">
        <x:v>K-12 and institutional distribution through multiple operating companies.</x:v>
      </x:c>
      <x:c r="O84" s="27" t="str">
        <x:v>https://gsfoodsgroup.com</x:v>
      </x:c>
      <x:c r="P84" s="27" t="str">
        <x:v>gsfoodsgroup.com</x:v>
      </x:c>
      <x:c r="Q84" s="27"/>
      <x:c r="R84" s="27" t="str"/>
      <x:c r="S84" s="27" t="str">
        <x:v>Ordering portal not publicly verified</x:v>
      </x:c>
      <x:c r="T84" s="27"/>
      <x:c r="U84" s="27" t="str">
        <x:v>No public template located in this pass</x:v>
      </x:c>
      <x:c r="V84" s="27" t="str">
        <x:v>IFDA 2026</x:v>
      </x:c>
      <x:c r="W84" s="27" t="str">
        <x:v>https://ifdaonline.org/distributor-members/</x:v>
      </x:c>
      <x:c r="X84" s="27" t="str">
        <x:v>https://gsfoodsgroup.com</x:v>
      </x:c>
      <x:c r="Y84" s="54" t="n">
        <x:v>46217</x:v>
      </x:c>
      <x:c r="Z84" s="27" t="str">
        <x:v>Low</x:v>
      </x:c>
      <x:c r="AA84" s="27" t="str">
        <x:v>Review before seed</x:v>
      </x:c>
      <x:c r="AB84" s="27" t="str">
        <x:v>No</x:v>
      </x:c>
      <x:c r="AC84" s="27" t="str">
        <x:v>Direct website verified from directory/source; customer ordering route requires additional account-level or site-specific verification.</x:v>
      </x:c>
    </x:row>
    <x:row r="85">
      <x:c r="A85" s="27" t="str">
        <x:v>halsey_foodservice</x:v>
      </x:c>
      <x:c r="B85" s="27" t="str">
        <x:v>Halsey Foodservice</x:v>
      </x:c>
      <x:c r="C85" s="27" t="str"/>
      <x:c r="D85" s="27" t="str">
        <x:v>Direct foodservice distributor</x:v>
      </x:c>
      <x:c r="E85" s="27" t="str">
        <x:v>Broadline</x:v>
      </x:c>
      <x:c r="F85" s="27" t="str">
        <x:v>Active</x:v>
      </x:c>
      <x:c r="G85" s="27" t="str"/>
      <x:c r="H85" s="27" t="str">
        <x:v>United States</x:v>
      </x:c>
      <x:c r="I85" s="27" t="str">
        <x:v>US</x:v>
      </x:c>
      <x:c r="J85" s="27" t="str"/>
      <x:c r="K85" s="27" t="str">
        <x:v>Regional</x:v>
      </x:c>
      <x:c r="L85" s="27" t="str">
        <x:v>Alabama, Tennessee, Mississippi, Georgia</x:v>
      </x:c>
      <x:c r="M85" s="27" t="str">
        <x:v>AL,TN,MS,GA</x:v>
      </x:c>
      <x:c r="N85" s="27" t="str">
        <x:v>Alabama-centered regional foodservice distribution.</x:v>
      </x:c>
      <x:c r="O85" s="27" t="str">
        <x:v>https://www.halseyfoodservice.com</x:v>
      </x:c>
      <x:c r="P85" s="27" t="str">
        <x:v>halseyfoodservice.com</x:v>
      </x:c>
      <x:c r="Q85" s="27"/>
      <x:c r="R85" s="27" t="str"/>
      <x:c r="S85" s="27" t="str">
        <x:v>Ordering portal not publicly verified</x:v>
      </x:c>
      <x:c r="T85" s="27"/>
      <x:c r="U85" s="27" t="str">
        <x:v>No public template located in this pass</x:v>
      </x:c>
      <x:c r="V85" s="27" t="str">
        <x:v>IFDA 2026</x:v>
      </x:c>
      <x:c r="W85" s="27" t="str">
        <x:v>https://ifdaonline.org/distributor-members/</x:v>
      </x:c>
      <x:c r="X85" s="27" t="str">
        <x:v>https://www.halseyfoodservice.com</x:v>
      </x:c>
      <x:c r="Y85" s="54" t="n">
        <x:v>46217</x:v>
      </x:c>
      <x:c r="Z85" s="27" t="str">
        <x:v>Low</x:v>
      </x:c>
      <x:c r="AA85" s="27" t="str">
        <x:v>Review before seed</x:v>
      </x:c>
      <x:c r="AB85" s="27" t="str">
        <x:v>No</x:v>
      </x:c>
      <x:c r="AC85" s="27" t="str">
        <x:v>Direct website verified from directory/source; customer ordering route requires additional account-level or site-specific verification.</x:v>
      </x:c>
    </x:row>
    <x:row r="86">
      <x:c r="A86" s="27" t="str">
        <x:v>harbor_foods_group</x:v>
      </x:c>
      <x:c r="B86" s="27" t="str">
        <x:v>Harbor Foods Group</x:v>
      </x:c>
      <x:c r="C86" s="27" t="str"/>
      <x:c r="D86" s="27" t="str">
        <x:v>Direct foodservice distributor</x:v>
      </x:c>
      <x:c r="E86" s="27" t="str">
        <x:v>Broadline / convenience</x:v>
      </x:c>
      <x:c r="F86" s="27" t="str">
        <x:v>Active</x:v>
      </x:c>
      <x:c r="G86" s="27" t="str"/>
      <x:c r="H86" s="27" t="str">
        <x:v>United States</x:v>
      </x:c>
      <x:c r="I86" s="27" t="str">
        <x:v>US</x:v>
      </x:c>
      <x:c r="J86" s="27" t="str"/>
      <x:c r="K86" s="27" t="str">
        <x:v>Multi-regional</x:v>
      </x:c>
      <x:c r="L86" s="27" t="str">
        <x:v>Alaska, Washington, Idaho, Oregon, California</x:v>
      </x:c>
      <x:c r="M86" s="27" t="str">
        <x:v>AK,WA,ID,OR,CA</x:v>
      </x:c>
      <x:c r="N86" s="27" t="str">
        <x:v>Publishes service in Alaska, Washington, Idaho, Oregon and Northern California.</x:v>
      </x:c>
      <x:c r="O86" s="27" t="str">
        <x:v>https://www.harborwholesale.com</x:v>
      </x:c>
      <x:c r="P86" s="27" t="str">
        <x:v>harborwholesale.com</x:v>
      </x:c>
      <x:c r="Q86" s="27"/>
      <x:c r="R86" s="27" t="str"/>
      <x:c r="S86" s="27" t="str">
        <x:v>Ordering portal not publicly verified</x:v>
      </x:c>
      <x:c r="T86" s="27"/>
      <x:c r="U86" s="27" t="str">
        <x:v>No public template located in this pass</x:v>
      </x:c>
      <x:c r="V86" s="27" t="str">
        <x:v>IFDA 2026</x:v>
      </x:c>
      <x:c r="W86" s="27" t="str">
        <x:v>https://ifdaonline.org/distributor-members/</x:v>
      </x:c>
      <x:c r="X86" s="27" t="str">
        <x:v>https://www.harborwholesale.com</x:v>
      </x:c>
      <x:c r="Y86" s="54" t="n">
        <x:v>46217</x:v>
      </x:c>
      <x:c r="Z86" s="27" t="str">
        <x:v>High</x:v>
      </x:c>
      <x:c r="AA86" s="27" t="str">
        <x:v>Approved seed</x:v>
      </x:c>
      <x:c r="AB86" s="27" t="str">
        <x:v>No</x:v>
      </x:c>
      <x:c r="AC86" s="27" t="str">
        <x:v>Direct website verified from directory/source; customer ordering route requires additional account-level or site-specific verification.</x:v>
      </x:c>
    </x:row>
    <x:row r="87">
      <x:c r="A87" s="27" t="str">
        <x:v>henry_s_foods_inc</x:v>
      </x:c>
      <x:c r="B87" s="27" t="str">
        <x:v>Henry's Foods, Inc.</x:v>
      </x:c>
      <x:c r="C87" s="27" t="str"/>
      <x:c r="D87" s="27" t="str">
        <x:v>Direct foodservice distributor</x:v>
      </x:c>
      <x:c r="E87" s="27" t="str">
        <x:v>Broadline</x:v>
      </x:c>
      <x:c r="F87" s="27" t="str">
        <x:v>Active</x:v>
      </x:c>
      <x:c r="G87" s="27" t="str"/>
      <x:c r="H87" s="27" t="str">
        <x:v>United States</x:v>
      </x:c>
      <x:c r="I87" s="27" t="str">
        <x:v>US</x:v>
      </x:c>
      <x:c r="J87" s="27" t="str"/>
      <x:c r="K87" s="27" t="str">
        <x:v>Regional</x:v>
      </x:c>
      <x:c r="L87" s="27" t="str">
        <x:v>Minnesota, North Dakota, South Dakota, Wisconsin, Iowa</x:v>
      </x:c>
      <x:c r="M87" s="27" t="str">
        <x:v>MN,ND,SD,WI,IA</x:v>
      </x:c>
      <x:c r="N87" s="27" t="str">
        <x:v>Publishes a five-state Upper Midwest and Northern Plains footprint.</x:v>
      </x:c>
      <x:c r="O87" s="27" t="str">
        <x:v>https://www.henrysfoods.com</x:v>
      </x:c>
      <x:c r="P87" s="27" t="str">
        <x:v>henrysfoods.com</x:v>
      </x:c>
      <x:c r="Q87" s="27"/>
      <x:c r="R87" s="27" t="str"/>
      <x:c r="S87" s="27" t="str">
        <x:v>Ordering portal not publicly verified</x:v>
      </x:c>
      <x:c r="T87" s="27"/>
      <x:c r="U87" s="27" t="str">
        <x:v>No public template located in this pass</x:v>
      </x:c>
      <x:c r="V87" s="27" t="str">
        <x:v>IFDA 2026</x:v>
      </x:c>
      <x:c r="W87" s="27" t="str">
        <x:v>https://ifdaonline.org/distributor-members/</x:v>
      </x:c>
      <x:c r="X87" s="27" t="str">
        <x:v>https://www.henrysfoods.com</x:v>
      </x:c>
      <x:c r="Y87" s="54" t="n">
        <x:v>46217</x:v>
      </x:c>
      <x:c r="Z87" s="27" t="str">
        <x:v>High</x:v>
      </x:c>
      <x:c r="AA87" s="27" t="str">
        <x:v>Approved seed</x:v>
      </x:c>
      <x:c r="AB87" s="27" t="str">
        <x:v>No</x:v>
      </x:c>
      <x:c r="AC87" s="27" t="str">
        <x:v>Direct website verified from directory/source; customer ordering route requires additional account-level or site-specific verification.</x:v>
      </x:c>
    </x:row>
    <x:row r="88">
      <x:c r="A88" s="27" t="str">
        <x:v>holiday_wholesale_inc</x:v>
      </x:c>
      <x:c r="B88" s="27" t="str">
        <x:v>Holiday Wholesale, Inc.</x:v>
      </x:c>
      <x:c r="C88" s="27" t="str"/>
      <x:c r="D88" s="27" t="str">
        <x:v>Direct foodservice distributor</x:v>
      </x:c>
      <x:c r="E88" s="27" t="str">
        <x:v>Convenience / foodservice</x:v>
      </x:c>
      <x:c r="F88" s="27" t="str">
        <x:v>Active</x:v>
      </x:c>
      <x:c r="G88" s="27" t="str"/>
      <x:c r="H88" s="27" t="str">
        <x:v>United States</x:v>
      </x:c>
      <x:c r="I88" s="27" t="str">
        <x:v>US</x:v>
      </x:c>
      <x:c r="J88" s="27" t="str"/>
      <x:c r="K88" s="27" t="str">
        <x:v>Regional</x:v>
      </x:c>
      <x:c r="L88" s="27" t="str">
        <x:v>Wisconsin, Illinois, Iowa, Minnesota</x:v>
      </x:c>
      <x:c r="M88" s="27" t="str">
        <x:v>WI,IL,IA,MN</x:v>
      </x:c>
      <x:c r="N88" s="27" t="str">
        <x:v>Wisconsin-centered convenience and foodservice distribution.</x:v>
      </x:c>
      <x:c r="O88" s="27" t="str">
        <x:v>https://www.holidaywholesale.com</x:v>
      </x:c>
      <x:c r="P88" s="27" t="str">
        <x:v>holidaywholesale.com</x:v>
      </x:c>
      <x:c r="Q88" s="27"/>
      <x:c r="R88" s="27" t="str"/>
      <x:c r="S88" s="27" t="str">
        <x:v>Ordering portal not publicly verified</x:v>
      </x:c>
      <x:c r="T88" s="27"/>
      <x:c r="U88" s="27" t="str">
        <x:v>No public template located in this pass</x:v>
      </x:c>
      <x:c r="V88" s="27" t="str">
        <x:v>IFDA 2026</x:v>
      </x:c>
      <x:c r="W88" s="27" t="str">
        <x:v>https://ifdaonline.org/distributor-members/</x:v>
      </x:c>
      <x:c r="X88" s="27" t="str">
        <x:v>https://www.holidaywholesale.com</x:v>
      </x:c>
      <x:c r="Y88" s="54" t="n">
        <x:v>46217</x:v>
      </x:c>
      <x:c r="Z88" s="27" t="str">
        <x:v>Low</x:v>
      </x:c>
      <x:c r="AA88" s="27" t="str">
        <x:v>Review before seed</x:v>
      </x:c>
      <x:c r="AB88" s="27" t="str">
        <x:v>No</x:v>
      </x:c>
      <x:c r="AC88" s="27" t="str">
        <x:v>Direct website verified from directory/source; customer ordering route requires additional account-level or site-specific verification.</x:v>
      </x:c>
    </x:row>
    <x:row r="89">
      <x:c r="A89" s="27" t="str">
        <x:v>honor_foods_inc</x:v>
      </x:c>
      <x:c r="B89" s="27" t="str">
        <x:v>Honor Foods, Inc.</x:v>
      </x:c>
      <x:c r="C89" s="27" t="str"/>
      <x:c r="D89" s="27" t="str">
        <x:v>Redistributor</x:v>
      </x:c>
      <x:c r="E89" s="27" t="str">
        <x:v>Redistributor</x:v>
      </x:c>
      <x:c r="F89" s="27" t="str">
        <x:v>Active</x:v>
      </x:c>
      <x:c r="G89" s="27" t="str"/>
      <x:c r="H89" s="27" t="str">
        <x:v>United States</x:v>
      </x:c>
      <x:c r="I89" s="27" t="str">
        <x:v>US</x:v>
      </x:c>
      <x:c r="J89" s="27" t="str"/>
      <x:c r="K89" s="27" t="str">
        <x:v>National redistributor</x:v>
      </x:c>
      <x:c r="L89" s="27"/>
      <x:c r="M89" s="27"/>
      <x:c r="N89" s="27" t="str">
        <x:v>Redistributor serving other distributors; not normally a direct restaurant account.</x:v>
      </x:c>
      <x:c r="O89" s="27" t="str">
        <x:v>https://www.honorfoods.com</x:v>
      </x:c>
      <x:c r="P89" s="27" t="str">
        <x:v>honorfoods.com</x:v>
      </x:c>
      <x:c r="Q89" s="27"/>
      <x:c r="R89" s="27" t="str"/>
      <x:c r="S89" s="27" t="str">
        <x:v>Ordering portal not publicly verified</x:v>
      </x:c>
      <x:c r="T89" s="27"/>
      <x:c r="U89" s="27" t="str">
        <x:v>No public template located in this pass</x:v>
      </x:c>
      <x:c r="V89" s="27" t="str">
        <x:v>IFDA 2026</x:v>
      </x:c>
      <x:c r="W89" s="27" t="str">
        <x:v>https://ifdaonline.org/distributor-members/</x:v>
      </x:c>
      <x:c r="X89" s="27" t="str">
        <x:v>https://www.honorfoods.com</x:v>
      </x:c>
      <x:c r="Y89" s="54" t="n">
        <x:v>46217</x:v>
      </x:c>
      <x:c r="Z89" s="27" t="str">
        <x:v>Medium</x:v>
      </x:c>
      <x:c r="AA89" s="27" t="str">
        <x:v>Reference only</x:v>
      </x:c>
      <x:c r="AB89" s="27" t="str">
        <x:v>No</x:v>
      </x:c>
      <x:c r="AC89" s="27" t="str">
        <x:v>Direct website verified from directory/source; customer ordering route requires additional account-level or site-specific verification.</x:v>
      </x:c>
    </x:row>
    <x:row r="90">
      <x:c r="A90" s="27" t="str">
        <x:v>hpc_foodservice</x:v>
      </x:c>
      <x:c r="B90" s="27" t="str">
        <x:v>HPC Foodservice</x:v>
      </x:c>
      <x:c r="C90" s="27" t="str"/>
      <x:c r="D90" s="27" t="str">
        <x:v>Direct foodservice distributor</x:v>
      </x:c>
      <x:c r="E90" s="27" t="str">
        <x:v>Broadline</x:v>
      </x:c>
      <x:c r="F90" s="27" t="str">
        <x:v>Active</x:v>
      </x:c>
      <x:c r="G90" s="27" t="str"/>
      <x:c r="H90" s="27" t="str">
        <x:v>United States</x:v>
      </x:c>
      <x:c r="I90" s="27" t="str">
        <x:v>US</x:v>
      </x:c>
      <x:c r="J90" s="27" t="str"/>
      <x:c r="K90" s="27" t="str">
        <x:v>Regional</x:v>
      </x:c>
      <x:c r="L90" s="27" t="str">
        <x:v>Connecticut, Massachusetts, Rhode Island, New York</x:v>
      </x:c>
      <x:c r="M90" s="27" t="str">
        <x:v>CT,MA,RI,NY</x:v>
      </x:c>
      <x:c r="N90" s="27" t="str">
        <x:v>Connecticut-centered foodservice distribution.</x:v>
      </x:c>
      <x:c r="O90" s="27" t="str">
        <x:v>https://www.hpcfs.com</x:v>
      </x:c>
      <x:c r="P90" s="27" t="str">
        <x:v>hpcfs.com</x:v>
      </x:c>
      <x:c r="Q90" s="27"/>
      <x:c r="R90" s="27" t="str"/>
      <x:c r="S90" s="27" t="str">
        <x:v>Ordering portal not publicly verified</x:v>
      </x:c>
      <x:c r="T90" s="27"/>
      <x:c r="U90" s="27" t="str">
        <x:v>No public template located in this pass</x:v>
      </x:c>
      <x:c r="V90" s="27" t="str">
        <x:v>IFDA 2026</x:v>
      </x:c>
      <x:c r="W90" s="27" t="str">
        <x:v>https://ifdaonline.org/distributor-members/</x:v>
      </x:c>
      <x:c r="X90" s="27" t="str">
        <x:v>https://www.hpcfs.com</x:v>
      </x:c>
      <x:c r="Y90" s="54" t="n">
        <x:v>46217</x:v>
      </x:c>
      <x:c r="Z90" s="27" t="str">
        <x:v>Low</x:v>
      </x:c>
      <x:c r="AA90" s="27" t="str">
        <x:v>Review before seed</x:v>
      </x:c>
      <x:c r="AB90" s="27" t="str">
        <x:v>No</x:v>
      </x:c>
      <x:c r="AC90" s="27" t="str">
        <x:v>Direct website verified from directory/source; customer ordering route requires additional account-level or site-specific verification.</x:v>
      </x:c>
    </x:row>
    <x:row r="91">
      <x:c r="A91" s="27" t="str">
        <x:v>i_supply_company</x:v>
      </x:c>
      <x:c r="B91" s="27" t="str">
        <x:v>I Supply Company</x:v>
      </x:c>
      <x:c r="C91" s="27" t="str"/>
      <x:c r="D91" s="27" t="str">
        <x:v>Direct foodservice distributor</x:v>
      </x:c>
      <x:c r="E91" s="27" t="str">
        <x:v>Convenience / foodservice</x:v>
      </x:c>
      <x:c r="F91" s="27" t="str">
        <x:v>Active</x:v>
      </x:c>
      <x:c r="G91" s="27" t="str"/>
      <x:c r="H91" s="27" t="str">
        <x:v>United States</x:v>
      </x:c>
      <x:c r="I91" s="27" t="str">
        <x:v>US</x:v>
      </x:c>
      <x:c r="J91" s="27" t="str"/>
      <x:c r="K91" s="27" t="str">
        <x:v>Regional</x:v>
      </x:c>
      <x:c r="L91" s="27" t="str">
        <x:v>Ohio, Indiana, Kentucky, Pennsylvania, West Virginia</x:v>
      </x:c>
      <x:c r="M91" s="27" t="str">
        <x:v>OH,IN,KY,PA,WV</x:v>
      </x:c>
      <x:c r="N91" s="27" t="str">
        <x:v>Ohio-centered convenience and foodservice distribution.</x:v>
      </x:c>
      <x:c r="O91" s="27" t="str">
        <x:v>https://www.isupplyco.com</x:v>
      </x:c>
      <x:c r="P91" s="27" t="str">
        <x:v>isupplyco.com</x:v>
      </x:c>
      <x:c r="Q91" s="27"/>
      <x:c r="R91" s="27" t="str"/>
      <x:c r="S91" s="27" t="str">
        <x:v>Ordering portal not publicly verified</x:v>
      </x:c>
      <x:c r="T91" s="27"/>
      <x:c r="U91" s="27" t="str">
        <x:v>No public template located in this pass</x:v>
      </x:c>
      <x:c r="V91" s="27" t="str">
        <x:v>IFDA 2026</x:v>
      </x:c>
      <x:c r="W91" s="27" t="str">
        <x:v>https://ifdaonline.org/distributor-members/</x:v>
      </x:c>
      <x:c r="X91" s="27" t="str">
        <x:v>https://www.isupplyco.com</x:v>
      </x:c>
      <x:c r="Y91" s="54" t="n">
        <x:v>46217</x:v>
      </x:c>
      <x:c r="Z91" s="27" t="str">
        <x:v>Low</x:v>
      </x:c>
      <x:c r="AA91" s="27" t="str">
        <x:v>Review before seed</x:v>
      </x:c>
      <x:c r="AB91" s="27" t="str">
        <x:v>No</x:v>
      </x:c>
      <x:c r="AC91" s="27" t="str">
        <x:v>Direct website verified from directory/source; customer ordering route requires additional account-level or site-specific verification.</x:v>
      </x:c>
    </x:row>
    <x:row r="92">
      <x:c r="A92" s="27" t="str">
        <x:v>ifd_foodservice_distributor</x:v>
      </x:c>
      <x:c r="B92" s="27" t="str">
        <x:v>IFD Foodservice Distributor</x:v>
      </x:c>
      <x:c r="C92" s="27" t="str"/>
      <x:c r="D92" s="27" t="str">
        <x:v>Direct foodservice distributor</x:v>
      </x:c>
      <x:c r="E92" s="27" t="str">
        <x:v>Broadline</x:v>
      </x:c>
      <x:c r="F92" s="27" t="str">
        <x:v>Active</x:v>
      </x:c>
      <x:c r="G92" s="27" t="str"/>
      <x:c r="H92" s="27" t="str">
        <x:v>United States</x:v>
      </x:c>
      <x:c r="I92" s="27" t="str">
        <x:v>US</x:v>
      </x:c>
      <x:c r="J92" s="27" t="str"/>
      <x:c r="K92" s="27" t="str">
        <x:v>Regional</x:v>
      </x:c>
      <x:c r="L92" s="27" t="str">
        <x:v>Wisconsin, Minnesota, Michigan, Iowa</x:v>
      </x:c>
      <x:c r="M92" s="27" t="str">
        <x:v>WI,MN,MI,IA</x:v>
      </x:c>
      <x:c r="N92" s="27" t="str">
        <x:v>Wisconsin-centered foodservice distribution.</x:v>
      </x:c>
      <x:c r="O92" s="27" t="str">
        <x:v>https://www.callifd.com</x:v>
      </x:c>
      <x:c r="P92" s="27" t="str">
        <x:v>callifd.com</x:v>
      </x:c>
      <x:c r="Q92" s="27"/>
      <x:c r="R92" s="27" t="str"/>
      <x:c r="S92" s="27" t="str">
        <x:v>Ordering portal not publicly verified</x:v>
      </x:c>
      <x:c r="T92" s="27"/>
      <x:c r="U92" s="27" t="str">
        <x:v>No public template located in this pass</x:v>
      </x:c>
      <x:c r="V92" s="27" t="str">
        <x:v>IFDA 2026</x:v>
      </x:c>
      <x:c r="W92" s="27" t="str">
        <x:v>https://ifdaonline.org/distributor-members/</x:v>
      </x:c>
      <x:c r="X92" s="27" t="str">
        <x:v>https://www.callifd.com</x:v>
      </x:c>
      <x:c r="Y92" s="54" t="n">
        <x:v>46217</x:v>
      </x:c>
      <x:c r="Z92" s="27" t="str">
        <x:v>Low</x:v>
      </x:c>
      <x:c r="AA92" s="27" t="str">
        <x:v>Review before seed</x:v>
      </x:c>
      <x:c r="AB92" s="27" t="str">
        <x:v>No</x:v>
      </x:c>
      <x:c r="AC92" s="27" t="str">
        <x:v>Direct website verified from directory/source; customer ordering route requires additional account-level or site-specific verification.</x:v>
      </x:c>
    </x:row>
    <x:row r="93">
      <x:c r="A93" s="27" t="str">
        <x:v>imler_s_poultry</x:v>
      </x:c>
      <x:c r="B93" s="27" t="str">
        <x:v>Imler's Poultry</x:v>
      </x:c>
      <x:c r="C93" s="27" t="str"/>
      <x:c r="D93" s="27" t="str">
        <x:v>Direct foodservice distributor</x:v>
      </x:c>
      <x:c r="E93" s="27" t="str">
        <x:v>Poultry / specialty</x:v>
      </x:c>
      <x:c r="F93" s="27" t="str">
        <x:v>Active</x:v>
      </x:c>
      <x:c r="G93" s="27" t="str"/>
      <x:c r="H93" s="27" t="str">
        <x:v>United States</x:v>
      </x:c>
      <x:c r="I93" s="27" t="str">
        <x:v>US</x:v>
      </x:c>
      <x:c r="J93" s="27" t="str"/>
      <x:c r="K93" s="27" t="str">
        <x:v>Regional</x:v>
      </x:c>
      <x:c r="L93" s="27" t="str">
        <x:v>Pennsylvania, Maryland, Virginia, West Virginia, Ohio</x:v>
      </x:c>
      <x:c r="M93" s="27" t="str">
        <x:v>PA,MD,VA,WV,OH</x:v>
      </x:c>
      <x:c r="N93" s="27" t="str">
        <x:v>Pennsylvania-centered poultry and specialty distribution.</x:v>
      </x:c>
      <x:c r="O93" s="27" t="str">
        <x:v>https://imlerspoultry.com</x:v>
      </x:c>
      <x:c r="P93" s="27" t="str">
        <x:v>imlerspoultry.com</x:v>
      </x:c>
      <x:c r="Q93" s="27"/>
      <x:c r="R93" s="27" t="str"/>
      <x:c r="S93" s="27" t="str">
        <x:v>Ordering portal not publicly verified</x:v>
      </x:c>
      <x:c r="T93" s="27"/>
      <x:c r="U93" s="27" t="str">
        <x:v>No public template located in this pass</x:v>
      </x:c>
      <x:c r="V93" s="27" t="str">
        <x:v>IFDA 2026</x:v>
      </x:c>
      <x:c r="W93" s="27" t="str">
        <x:v>https://ifdaonline.org/distributor-members/</x:v>
      </x:c>
      <x:c r="X93" s="27" t="str">
        <x:v>https://imlerspoultry.com</x:v>
      </x:c>
      <x:c r="Y93" s="54" t="n">
        <x:v>46217</x:v>
      </x:c>
      <x:c r="Z93" s="27" t="str">
        <x:v>Low</x:v>
      </x:c>
      <x:c r="AA93" s="27" t="str">
        <x:v>Review before seed</x:v>
      </x:c>
      <x:c r="AB93" s="27" t="str">
        <x:v>No</x:v>
      </x:c>
      <x:c r="AC93" s="27" t="str">
        <x:v>Direct website verified from directory/source; customer ordering route requires additional account-level or site-specific verification.</x:v>
      </x:c>
    </x:row>
    <x:row r="94">
      <x:c r="A94" s="27" t="str">
        <x:v>incollingo_food_service</x:v>
      </x:c>
      <x:c r="B94" s="27" t="str">
        <x:v>Incollingo Food Service</x:v>
      </x:c>
      <x:c r="C94" s="27" t="str"/>
      <x:c r="D94" s="27" t="str">
        <x:v>Direct foodservice distributor</x:v>
      </x:c>
      <x:c r="E94" s="27" t="str">
        <x:v>Italian / pizza / broadline foodservice</x:v>
      </x:c>
      <x:c r="F94" s="27" t="str">
        <x:v>Active</x:v>
      </x:c>
      <x:c r="G94" s="27" t="str"/>
      <x:c r="H94" s="27" t="str">
        <x:v>United States</x:v>
      </x:c>
      <x:c r="I94" s="27" t="str">
        <x:v>US</x:v>
      </x:c>
      <x:c r="J94" s="27" t="str">
        <x:v>Pennsauken, New Jersey</x:v>
      </x:c>
      <x:c r="K94" s="27" t="str">
        <x:v>Regional</x:v>
      </x:c>
      <x:c r="L94" s="27" t="str">
        <x:v>New Jersey, Pennsylvania, Delaware, Maryland</x:v>
      </x:c>
      <x:c r="M94" s="27" t="str">
        <x:v>NJ,PA,DE,MD</x:v>
      </x:c>
      <x:c r="N94" s="27" t="str">
        <x:v>New Jersey, Jersey Shore, portions of Pennsylvania, Delaware and Maryland.</x:v>
      </x:c>
      <x:c r="O94" s="27" t="str">
        <x:v>https://www.incollingofoods.com/</x:v>
      </x:c>
      <x:c r="P94" s="27" t="str">
        <x:v>incollingofoods.com</x:v>
      </x:c>
      <x:c r="Q94" s="27" t="str">
        <x:v>https://www.incollingofoods.com/new-products-page</x:v>
      </x:c>
      <x:c r="R94" s="27" t="str">
        <x:v>unknown_branded_portal</x:v>
      </x:c>
      <x:c r="S94" s="27" t="str">
        <x:v>Verified online ordering link from official site</x:v>
      </x:c>
      <x:c r="T94" s="27" t="str"/>
      <x:c r="U94" s="27" t="str">
        <x:v>No public template located</x:v>
      </x:c>
      <x:c r="V94" s="27" t="str">
        <x:v>Frosty Acres 2025–2026 member</x:v>
      </x:c>
      <x:c r="W94" s="27" t="str">
        <x:v>https://www.frostyacres.com/news/f8151c2f-4a01-42d0-8720-b11a4ff6ddb2</x:v>
      </x:c>
      <x:c r="X94" s="27" t="str">
        <x:v>https://www.incollingofoods.com/</x:v>
      </x:c>
      <x:c r="Y94" s="54" t="n">
        <x:v>46217</x:v>
      </x:c>
      <x:c r="Z94" s="27" t="str">
        <x:v>High</x:v>
      </x:c>
      <x:c r="AA94" s="27" t="str">
        <x:v>Approved seed</x:v>
      </x:c>
      <x:c r="AB94" s="27" t="str">
        <x:v>Yes</x:v>
      </x:c>
      <x:c r="AC94" s="27" t="str"/>
    </x:row>
    <x:row r="95">
      <x:c r="A95" s="27" t="str">
        <x:v>independent_marketing_alliance</x:v>
      </x:c>
      <x:c r="B95" s="27" t="str">
        <x:v>Independent Marketing Alliance</x:v>
      </x:c>
      <x:c r="C95" s="27" t="str"/>
      <x:c r="D95" s="27" t="str">
        <x:v>Distributor network / cooperative</x:v>
      </x:c>
      <x:c r="E95" s="27" t="str">
        <x:v>Distributor network</x:v>
      </x:c>
      <x:c r="F95" s="27" t="str">
        <x:v>Active</x:v>
      </x:c>
      <x:c r="G95" s="27" t="str"/>
      <x:c r="H95" s="27" t="str">
        <x:v>United States</x:v>
      </x:c>
      <x:c r="I95" s="27" t="str">
        <x:v>US</x:v>
      </x:c>
      <x:c r="J95" s="27" t="str"/>
      <x:c r="K95" s="27" t="str">
        <x:v>Distributor network</x:v>
      </x:c>
      <x:c r="L95" s="27"/>
      <x:c r="M95" s="27"/>
      <x:c r="N95" s="27" t="str">
        <x:v>National member alliance; customer matching should occur at the local distributor level.</x:v>
      </x:c>
      <x:c r="O95" s="27" t="str">
        <x:v>https://www.imaforce.com</x:v>
      </x:c>
      <x:c r="P95" s="27" t="str">
        <x:v>imaforce.com</x:v>
      </x:c>
      <x:c r="Q95" s="27"/>
      <x:c r="R95" s="27" t="str"/>
      <x:c r="S95" s="27" t="str">
        <x:v>Network/cooperative — not an operator ordering portal</x:v>
      </x:c>
      <x:c r="T95" s="27"/>
      <x:c r="U95" s="27" t="str">
        <x:v>No public template located in this pass</x:v>
      </x:c>
      <x:c r="V95" s="27" t="str">
        <x:v>IFDA 2026</x:v>
      </x:c>
      <x:c r="W95" s="27" t="str">
        <x:v>https://ifdaonline.org/distributor-members/</x:v>
      </x:c>
      <x:c r="X95" s="27" t="str">
        <x:v>https://www.imaforce.com</x:v>
      </x:c>
      <x:c r="Y95" s="54" t="n">
        <x:v>46217</x:v>
      </x:c>
      <x:c r="Z95" s="27" t="str">
        <x:v>High</x:v>
      </x:c>
      <x:c r="AA95" s="27" t="str">
        <x:v>Reference only</x:v>
      </x:c>
      <x:c r="AB95" s="27" t="str">
        <x:v>No</x:v>
      </x:c>
      <x:c r="AC95" s="27" t="str">
        <x:v>Direct website verified from directory/source; customer ordering route requires additional account-level or site-specific verification.</x:v>
      </x:c>
    </x:row>
    <x:row r="96">
      <x:c r="A96" s="27" t="str">
        <x:v>international_gourmet_foods</x:v>
      </x:c>
      <x:c r="B96" s="27" t="str">
        <x:v>International Gourmet Foods</x:v>
      </x:c>
      <x:c r="C96" s="27" t="str"/>
      <x:c r="D96" s="27" t="str">
        <x:v>Direct foodservice distributor</x:v>
      </x:c>
      <x:c r="E96" s="27" t="str">
        <x:v>Specialty foods</x:v>
      </x:c>
      <x:c r="F96" s="27" t="str">
        <x:v>Active</x:v>
      </x:c>
      <x:c r="G96" s="27" t="str"/>
      <x:c r="H96" s="27" t="str">
        <x:v>United States</x:v>
      </x:c>
      <x:c r="I96" s="27" t="str">
        <x:v>US</x:v>
      </x:c>
      <x:c r="J96" s="27" t="str"/>
      <x:c r="K96" s="27" t="str">
        <x:v>Multi-regional</x:v>
      </x:c>
      <x:c r="L96" s="27" t="str">
        <x:v>Virginia, Maryland, District of Columbia, North Carolina, Tennessee, South Carolina, Georgia</x:v>
      </x:c>
      <x:c r="M96" s="27" t="str">
        <x:v>VA,MD,DC,NC,TN,SC,GA</x:v>
      </x:c>
      <x:c r="N96" s="27" t="str">
        <x:v>Virginia-centered specialty distribution with Mid-Atlantic and Southeast operations.</x:v>
      </x:c>
      <x:c r="O96" s="27" t="str">
        <x:v>https://www.igf-inc.com</x:v>
      </x:c>
      <x:c r="P96" s="27" t="str">
        <x:v>igf-inc.com</x:v>
      </x:c>
      <x:c r="Q96" s="27"/>
      <x:c r="R96" s="27" t="str"/>
      <x:c r="S96" s="27" t="str">
        <x:v>Ordering portal not publicly verified</x:v>
      </x:c>
      <x:c r="T96" s="27"/>
      <x:c r="U96" s="27" t="str">
        <x:v>No public template located in this pass</x:v>
      </x:c>
      <x:c r="V96" s="27" t="str">
        <x:v>Supplemental research</x:v>
      </x:c>
      <x:c r="W96" s="27" t="str">
        <x:v>https://www.igf-inc.com</x:v>
      </x:c>
      <x:c r="X96" s="27" t="str">
        <x:v>https://www.igf-inc.com</x:v>
      </x:c>
      <x:c r="Y96" s="54" t="n">
        <x:v>46217</x:v>
      </x:c>
      <x:c r="Z96" s="27" t="str">
        <x:v>Medium</x:v>
      </x:c>
      <x:c r="AA96" s="27" t="str">
        <x:v>Approved seed</x:v>
      </x:c>
      <x:c r="AB96" s="27" t="str">
        <x:v>No</x:v>
      </x:c>
      <x:c r="AC96" s="27" t="str">
        <x:v>Direct website verified from directory/source; customer ordering route requires additional account-level or site-specific verification.</x:v>
      </x:c>
    </x:row>
    <x:row r="97">
      <x:c r="A97" s="27" t="str">
        <x:v>jake_s_finer_foods</x:v>
      </x:c>
      <x:c r="B97" s="27" t="str">
        <x:v>Jake's Finer Foods</x:v>
      </x:c>
      <x:c r="C97" s="27" t="str"/>
      <x:c r="D97" s="27" t="str">
        <x:v>Direct foodservice distributor</x:v>
      </x:c>
      <x:c r="E97" s="27" t="str">
        <x:v>Broadline / specialty</x:v>
      </x:c>
      <x:c r="F97" s="27" t="str">
        <x:v>Active</x:v>
      </x:c>
      <x:c r="G97" s="27" t="str"/>
      <x:c r="H97" s="27" t="str">
        <x:v>United States</x:v>
      </x:c>
      <x:c r="I97" s="27" t="str">
        <x:v>US</x:v>
      </x:c>
      <x:c r="J97" s="27" t="str"/>
      <x:c r="K97" s="27" t="str">
        <x:v>Regional</x:v>
      </x:c>
      <x:c r="L97" s="27" t="str">
        <x:v>Texas, Louisiana</x:v>
      </x:c>
      <x:c r="M97" s="27" t="str">
        <x:v>TX,LA</x:v>
      </x:c>
      <x:c r="N97" s="27" t="str">
        <x:v>Houston-centered broadline and specialty distribution.</x:v>
      </x:c>
      <x:c r="O97" s="27" t="str">
        <x:v>https://www.jakesfinerfoods.com</x:v>
      </x:c>
      <x:c r="P97" s="27" t="str">
        <x:v>jakesfinerfoods.com</x:v>
      </x:c>
      <x:c r="Q97" s="27"/>
      <x:c r="R97" s="27" t="str"/>
      <x:c r="S97" s="27" t="str">
        <x:v>Ordering portal not publicly verified</x:v>
      </x:c>
      <x:c r="T97" s="27"/>
      <x:c r="U97" s="27" t="str">
        <x:v>No public template located in this pass</x:v>
      </x:c>
      <x:c r="V97" s="27" t="str">
        <x:v>IFDA 2026</x:v>
      </x:c>
      <x:c r="W97" s="27" t="str">
        <x:v>https://ifdaonline.org/distributor-members/</x:v>
      </x:c>
      <x:c r="X97" s="27" t="str">
        <x:v>https://www.jakesfinerfoods.com</x:v>
      </x:c>
      <x:c r="Y97" s="54" t="n">
        <x:v>46217</x:v>
      </x:c>
      <x:c r="Z97" s="27" t="str">
        <x:v>Medium</x:v>
      </x:c>
      <x:c r="AA97" s="27" t="str">
        <x:v>Approved seed</x:v>
      </x:c>
      <x:c r="AB97" s="27" t="str">
        <x:v>No</x:v>
      </x:c>
      <x:c r="AC97" s="27" t="str">
        <x:v>Direct website verified from directory/source; customer ordering route requires additional account-level or site-specific verification.</x:v>
      </x:c>
    </x:row>
    <x:row r="98">
      <x:c r="A98" s="27" t="str">
        <x:v>jangbogo_foodbank</x:v>
      </x:c>
      <x:c r="B98" s="27" t="str">
        <x:v>Jangbogo Foodbank</x:v>
      </x:c>
      <x:c r="C98" s="27" t="str"/>
      <x:c r="D98" s="27" t="str">
        <x:v>Direct foodservice distributor</x:v>
      </x:c>
      <x:c r="E98" s="27" t="str">
        <x:v>Asian / specialty</x:v>
      </x:c>
      <x:c r="F98" s="27" t="str">
        <x:v>Active</x:v>
      </x:c>
      <x:c r="G98" s="27" t="str"/>
      <x:c r="H98" s="27" t="str">
        <x:v>United States</x:v>
      </x:c>
      <x:c r="I98" s="27" t="str">
        <x:v>US</x:v>
      </x:c>
      <x:c r="J98" s="27" t="str"/>
      <x:c r="K98" s="27" t="str">
        <x:v>Local / regional</x:v>
      </x:c>
      <x:c r="L98" s="27" t="str">
        <x:v>Illinois, Indiana, Wisconsin</x:v>
      </x:c>
      <x:c r="M98" s="27" t="str">
        <x:v>IL,IN,WI</x:v>
      </x:c>
      <x:c r="N98" s="27" t="str">
        <x:v>Chicago-centered Asian specialty distribution.</x:v>
      </x:c>
      <x:c r="O98" s="27" t="str">
        <x:v>https://jangfood.com</x:v>
      </x:c>
      <x:c r="P98" s="27" t="str">
        <x:v>jangfood.com</x:v>
      </x:c>
      <x:c r="Q98" s="27"/>
      <x:c r="R98" s="27" t="str"/>
      <x:c r="S98" s="27" t="str">
        <x:v>Ordering portal not publicly verified</x:v>
      </x:c>
      <x:c r="T98" s="27"/>
      <x:c r="U98" s="27" t="str">
        <x:v>No public template located in this pass</x:v>
      </x:c>
      <x:c r="V98" s="27" t="str">
        <x:v>IFDA 2026</x:v>
      </x:c>
      <x:c r="W98" s="27" t="str">
        <x:v>https://ifdaonline.org/distributor-members/</x:v>
      </x:c>
      <x:c r="X98" s="27" t="str">
        <x:v>https://jangfood.com</x:v>
      </x:c>
      <x:c r="Y98" s="54" t="n">
        <x:v>46217</x:v>
      </x:c>
      <x:c r="Z98" s="27" t="str">
        <x:v>Low</x:v>
      </x:c>
      <x:c r="AA98" s="27" t="str">
        <x:v>Review before seed</x:v>
      </x:c>
      <x:c r="AB98" s="27" t="str">
        <x:v>No</x:v>
      </x:c>
      <x:c r="AC98" s="27" t="str">
        <x:v>Direct website verified from directory/source; customer ordering route requires additional account-level or site-specific verification.</x:v>
      </x:c>
    </x:row>
    <x:row r="99">
      <x:c r="A99" s="27" t="str">
        <x:v>jd_food</x:v>
      </x:c>
      <x:c r="B99" s="27" t="str">
        <x:v>JD Food</x:v>
      </x:c>
      <x:c r="C99" s="27" t="str"/>
      <x:c r="D99" s="27" t="str">
        <x:v>Direct foodservice distributor</x:v>
      </x:c>
      <x:c r="E99" s="27" t="str">
        <x:v>Broadline</x:v>
      </x:c>
      <x:c r="F99" s="27" t="str">
        <x:v>Active</x:v>
      </x:c>
      <x:c r="G99" s="27" t="str"/>
      <x:c r="H99" s="27" t="str">
        <x:v>United States</x:v>
      </x:c>
      <x:c r="I99" s="27" t="str">
        <x:v>US</x:v>
      </x:c>
      <x:c r="J99" s="27" t="str"/>
      <x:c r="K99" s="27" t="str">
        <x:v>Regional</x:v>
      </x:c>
      <x:c r="L99" s="27" t="str">
        <x:v>California, Nevada</x:v>
      </x:c>
      <x:c r="M99" s="27" t="str">
        <x:v>CA,NV</x:v>
      </x:c>
      <x:c r="N99" s="27" t="str">
        <x:v>California-centered regional broadline distribution.</x:v>
      </x:c>
      <x:c r="O99" s="27" t="str">
        <x:v>https://jdfood.com</x:v>
      </x:c>
      <x:c r="P99" s="27" t="str">
        <x:v>jdfood.com</x:v>
      </x:c>
      <x:c r="Q99" s="27"/>
      <x:c r="R99" s="27" t="str"/>
      <x:c r="S99" s="27" t="str">
        <x:v>Ordering portal not publicly verified</x:v>
      </x:c>
      <x:c r="T99" s="27"/>
      <x:c r="U99" s="27" t="str">
        <x:v>No public template located in this pass</x:v>
      </x:c>
      <x:c r="V99" s="27" t="str">
        <x:v>IFDA 2026</x:v>
      </x:c>
      <x:c r="W99" s="27" t="str">
        <x:v>https://ifdaonline.org/distributor-members/</x:v>
      </x:c>
      <x:c r="X99" s="27" t="str">
        <x:v>https://jdfood.com</x:v>
      </x:c>
      <x:c r="Y99" s="54" t="n">
        <x:v>46217</x:v>
      </x:c>
      <x:c r="Z99" s="27" t="str">
        <x:v>Low</x:v>
      </x:c>
      <x:c r="AA99" s="27" t="str">
        <x:v>Review before seed</x:v>
      </x:c>
      <x:c r="AB99" s="27" t="str">
        <x:v>No</x:v>
      </x:c>
      <x:c r="AC99" s="27" t="str">
        <x:v>Direct website verified from directory/source; customer ordering route requires additional account-level or site-specific verification.</x:v>
      </x:c>
    </x:row>
    <x:row r="100">
      <x:c r="A100" s="27" t="str">
        <x:v>johnson_bros_bakery_supply</x:v>
      </x:c>
      <x:c r="B100" s="27" t="str">
        <x:v>Johnson Bros. Bakery Supply</x:v>
      </x:c>
      <x:c r="C100" s="27" t="str"/>
      <x:c r="D100" s="27" t="str">
        <x:v>Direct foodservice distributor</x:v>
      </x:c>
      <x:c r="E100" s="27" t="str">
        <x:v>Bakery ingredients</x:v>
      </x:c>
      <x:c r="F100" s="27" t="str">
        <x:v>Active</x:v>
      </x:c>
      <x:c r="G100" s="27" t="str"/>
      <x:c r="H100" s="27" t="str">
        <x:v>United States</x:v>
      </x:c>
      <x:c r="I100" s="27" t="str">
        <x:v>US</x:v>
      </x:c>
      <x:c r="J100" s="27" t="str"/>
      <x:c r="K100" s="27" t="str">
        <x:v>Regional</x:v>
      </x:c>
      <x:c r="L100" s="27" t="str">
        <x:v>Texas, Oklahoma, Louisiana</x:v>
      </x:c>
      <x:c r="M100" s="27" t="str">
        <x:v>TX,OK,LA</x:v>
      </x:c>
      <x:c r="N100" s="27" t="str">
        <x:v>Texas-centered bakery-ingredient distribution.</x:v>
      </x:c>
      <x:c r="O100" s="27" t="str">
        <x:v>https://jbrosbakerysupply.com</x:v>
      </x:c>
      <x:c r="P100" s="27" t="str">
        <x:v>jbrosbakerysupply.com</x:v>
      </x:c>
      <x:c r="Q100" s="27"/>
      <x:c r="R100" s="27" t="str"/>
      <x:c r="S100" s="27" t="str">
        <x:v>Ordering portal not publicly verified</x:v>
      </x:c>
      <x:c r="T100" s="27"/>
      <x:c r="U100" s="27" t="str">
        <x:v>No public template located in this pass</x:v>
      </x:c>
      <x:c r="V100" s="27" t="str">
        <x:v>IFDA 2026</x:v>
      </x:c>
      <x:c r="W100" s="27" t="str">
        <x:v>https://ifdaonline.org/distributor-members/</x:v>
      </x:c>
      <x:c r="X100" s="27" t="str">
        <x:v>https://jbrosbakerysupply.com</x:v>
      </x:c>
      <x:c r="Y100" s="54" t="n">
        <x:v>46217</x:v>
      </x:c>
      <x:c r="Z100" s="27" t="str">
        <x:v>Low</x:v>
      </x:c>
      <x:c r="AA100" s="27" t="str">
        <x:v>Review before seed</x:v>
      </x:c>
      <x:c r="AB100" s="27" t="str">
        <x:v>No</x:v>
      </x:c>
      <x:c r="AC100" s="27" t="str">
        <x:v>Direct website verified from directory/source; customer ordering route requires additional account-level or site-specific verification.</x:v>
      </x:c>
    </x:row>
    <x:row r="101">
      <x:c r="A101" s="27" t="str">
        <x:v>jordano_s_foodservice_inc</x:v>
      </x:c>
      <x:c r="B101" s="27" t="str">
        <x:v>Jordano's Foodservice, Inc.</x:v>
      </x:c>
      <x:c r="C101" s="27" t="str"/>
      <x:c r="D101" s="27" t="str">
        <x:v>Direct foodservice distributor</x:v>
      </x:c>
      <x:c r="E101" s="27" t="str">
        <x:v>Broadline</x:v>
      </x:c>
      <x:c r="F101" s="27" t="str">
        <x:v>Active</x:v>
      </x:c>
      <x:c r="G101" s="27" t="str"/>
      <x:c r="H101" s="27" t="str">
        <x:v>United States</x:v>
      </x:c>
      <x:c r="I101" s="27" t="str">
        <x:v>US</x:v>
      </x:c>
      <x:c r="J101" s="27" t="str"/>
      <x:c r="K101" s="27" t="str">
        <x:v>Regional</x:v>
      </x:c>
      <x:c r="L101" s="27" t="str">
        <x:v>California</x:v>
      </x:c>
      <x:c r="M101" s="27" t="str">
        <x:v>CA</x:v>
      </x:c>
      <x:c r="N101" s="27" t="str">
        <x:v>California regional foodservice distribution.</x:v>
      </x:c>
      <x:c r="O101" s="27" t="str">
        <x:v>https://jordanos.com</x:v>
      </x:c>
      <x:c r="P101" s="27" t="str">
        <x:v>jordanos.com</x:v>
      </x:c>
      <x:c r="Q101" s="27"/>
      <x:c r="R101" s="27" t="str"/>
      <x:c r="S101" s="27" t="str">
        <x:v>Ordering portal not publicly verified</x:v>
      </x:c>
      <x:c r="T101" s="27"/>
      <x:c r="U101" s="27" t="str">
        <x:v>No public template located in this pass</x:v>
      </x:c>
      <x:c r="V101" s="27" t="str">
        <x:v>IFDA 2026</x:v>
      </x:c>
      <x:c r="W101" s="27" t="str">
        <x:v>https://ifdaonline.org/distributor-members/</x:v>
      </x:c>
      <x:c r="X101" s="27" t="str">
        <x:v>https://jordanos.com</x:v>
      </x:c>
      <x:c r="Y101" s="54" t="n">
        <x:v>46217</x:v>
      </x:c>
      <x:c r="Z101" s="27" t="str">
        <x:v>Medium</x:v>
      </x:c>
      <x:c r="AA101" s="27" t="str">
        <x:v>Approved seed</x:v>
      </x:c>
      <x:c r="AB101" s="27" t="str">
        <x:v>No</x:v>
      </x:c>
      <x:c r="AC101" s="27" t="str">
        <x:v>Direct website verified from directory/source; customer ordering route requires additional account-level or site-specific verification.</x:v>
      </x:c>
    </x:row>
    <x:row r="102">
      <x:c r="A102" s="27" t="str">
        <x:v>kansas_marine_inc</x:v>
      </x:c>
      <x:c r="B102" s="27" t="str">
        <x:v>Kansas Marine, Inc.</x:v>
      </x:c>
      <x:c r="C102" s="27" t="str"/>
      <x:c r="D102" s="27" t="str">
        <x:v>Direct foodservice distributor</x:v>
      </x:c>
      <x:c r="E102" s="27" t="str">
        <x:v>Cruise-line food and hospitality supply</x:v>
      </x:c>
      <x:c r="F102" s="27" t="str">
        <x:v>Active</x:v>
      </x:c>
      <x:c r="G102" s="27" t="str"/>
      <x:c r="H102" s="27" t="str">
        <x:v>United States</x:v>
      </x:c>
      <x:c r="I102" s="27" t="str">
        <x:v>US</x:v>
      </x:c>
      <x:c r="J102" s="27" t="str">
        <x:v>Los Angeles, California</x:v>
      </x:c>
      <x:c r="K102" s="27" t="str">
        <x:v>Specialized multi-market</x:v>
      </x:c>
      <x:c r="L102" s="27" t="str">
        <x:v>California, Washington, British Columbia</x:v>
      </x:c>
      <x:c r="M102" s="27" t="str">
        <x:v>CA,WA</x:v>
      </x:c>
      <x:c r="N102" s="27" t="str">
        <x:v>Southern California ports; seasonal Seattle and Vancouver cruise provisioning.</x:v>
      </x:c>
      <x:c r="O102" s="27" t="str">
        <x:v>https://www.kansasmarine.com/</x:v>
      </x:c>
      <x:c r="P102" s="27" t="str">
        <x:v>kansasmarine.com</x:v>
      </x:c>
      <x:c r="Q102" s="27" t="str"/>
      <x:c r="R102" s="27" t="str"/>
      <x:c r="S102" s="27" t="str">
        <x:v>Ordering portal not publicly verified</x:v>
      </x:c>
      <x:c r="T102" s="27" t="str"/>
      <x:c r="U102" s="27" t="str">
        <x:v>No public template located</x:v>
      </x:c>
      <x:c r="V102" s="27" t="str">
        <x:v>Golbon current/recent member</x:v>
      </x:c>
      <x:c r="W102" s="27" t="str">
        <x:v>https://golbon.com/press/golbon-welcomes-new-member-kansas-marine-inc/</x:v>
      </x:c>
      <x:c r="X102" s="27" t="str">
        <x:v>https://www.kansasmarine.com/</x:v>
      </x:c>
      <x:c r="Y102" s="54" t="n">
        <x:v>46217</x:v>
      </x:c>
      <x:c r="Z102" s="27" t="str">
        <x:v>High</x:v>
      </x:c>
      <x:c r="AA102" s="27" t="str">
        <x:v>Approved seed</x:v>
      </x:c>
      <x:c r="AB102" s="27" t="str">
        <x:v>Yes</x:v>
      </x:c>
      <x:c r="AC102" s="27" t="str"/>
    </x:row>
    <x:row r="103">
      <x:c r="A103" s="27" t="str">
        <x:v>kast_distributors_inc</x:v>
      </x:c>
      <x:c r="B103" s="27" t="str">
        <x:v>KAST Distributors, Inc.</x:v>
      </x:c>
      <x:c r="C103" s="27" t="str"/>
      <x:c r="D103" s="27" t="str">
        <x:v>Direct foodservice distributor</x:v>
      </x:c>
      <x:c r="E103" s="27" t="str">
        <x:v>Broadline</x:v>
      </x:c>
      <x:c r="F103" s="27" t="str">
        <x:v>Active</x:v>
      </x:c>
      <x:c r="G103" s="27" t="str"/>
      <x:c r="H103" s="27" t="str">
        <x:v>United States</x:v>
      </x:c>
      <x:c r="I103" s="27" t="str">
        <x:v>US</x:v>
      </x:c>
      <x:c r="J103" s="27" t="str"/>
      <x:c r="K103" s="27" t="str">
        <x:v>Regional</x:v>
      </x:c>
      <x:c r="L103" s="27" t="str">
        <x:v>Pennsylvania, New Jersey, New York</x:v>
      </x:c>
      <x:c r="M103" s="27" t="str">
        <x:v>PA,NJ,NY</x:v>
      </x:c>
      <x:c r="N103" s="27" t="str">
        <x:v>Pennsylvania-centered regional distribution.</x:v>
      </x:c>
      <x:c r="O103" s="27" t="str">
        <x:v>https://www.kastdistributors.com</x:v>
      </x:c>
      <x:c r="P103" s="27" t="str">
        <x:v>kastdistributors.com</x:v>
      </x:c>
      <x:c r="Q103" s="27"/>
      <x:c r="R103" s="27" t="str"/>
      <x:c r="S103" s="27" t="str">
        <x:v>Ordering portal not publicly verified</x:v>
      </x:c>
      <x:c r="T103" s="27"/>
      <x:c r="U103" s="27" t="str">
        <x:v>No public template located in this pass</x:v>
      </x:c>
      <x:c r="V103" s="27" t="str">
        <x:v>IFDA 2026</x:v>
      </x:c>
      <x:c r="W103" s="27" t="str">
        <x:v>https://ifdaonline.org/distributor-members/</x:v>
      </x:c>
      <x:c r="X103" s="27" t="str">
        <x:v>https://www.kastdistributors.com</x:v>
      </x:c>
      <x:c r="Y103" s="54" t="n">
        <x:v>46217</x:v>
      </x:c>
      <x:c r="Z103" s="27" t="str">
        <x:v>Low</x:v>
      </x:c>
      <x:c r="AA103" s="27" t="str">
        <x:v>Review before seed</x:v>
      </x:c>
      <x:c r="AB103" s="27" t="str">
        <x:v>No</x:v>
      </x:c>
      <x:c r="AC103" s="27" t="str">
        <x:v>Direct website verified from directory/source; customer ordering route requires additional account-level or site-specific verification.</x:v>
      </x:c>
    </x:row>
    <x:row r="104">
      <x:c r="A104" s="27" t="str">
        <x:v>keck_s_food_service_inc</x:v>
      </x:c>
      <x:c r="B104" s="27" t="str">
        <x:v>Keck's Food Service, Inc.</x:v>
      </x:c>
      <x:c r="C104" s="27" t="str"/>
      <x:c r="D104" s="27" t="str">
        <x:v>Direct foodservice distributor</x:v>
      </x:c>
      <x:c r="E104" s="27" t="str">
        <x:v>Broadline</x:v>
      </x:c>
      <x:c r="F104" s="27" t="str">
        <x:v>Active</x:v>
      </x:c>
      <x:c r="G104" s="27" t="str"/>
      <x:c r="H104" s="27" t="str">
        <x:v>United States</x:v>
      </x:c>
      <x:c r="I104" s="27" t="str">
        <x:v>US</x:v>
      </x:c>
      <x:c r="J104" s="27" t="str"/>
      <x:c r="K104" s="27" t="str">
        <x:v>Regional</x:v>
      </x:c>
      <x:c r="L104" s="27" t="str">
        <x:v>Pennsylvania, Maryland, Virginia, West Virginia</x:v>
      </x:c>
      <x:c r="M104" s="27" t="str">
        <x:v>PA,MD,VA,WV</x:v>
      </x:c>
      <x:c r="N104" s="27" t="str">
        <x:v>Pennsylvania-centered foodservice distribution.</x:v>
      </x:c>
      <x:c r="O104" s="27" t="str">
        <x:v>https://www.kecksfoodservice.com</x:v>
      </x:c>
      <x:c r="P104" s="27" t="str">
        <x:v>kecksfoodservice.com</x:v>
      </x:c>
      <x:c r="Q104" s="27"/>
      <x:c r="R104" s="27" t="str"/>
      <x:c r="S104" s="27" t="str">
        <x:v>Ordering portal not publicly verified</x:v>
      </x:c>
      <x:c r="T104" s="27"/>
      <x:c r="U104" s="27" t="str">
        <x:v>No public template located in this pass</x:v>
      </x:c>
      <x:c r="V104" s="27" t="str">
        <x:v>IFDA 2026</x:v>
      </x:c>
      <x:c r="W104" s="27" t="str">
        <x:v>https://ifdaonline.org/distributor-members/</x:v>
      </x:c>
      <x:c r="X104" s="27" t="str">
        <x:v>https://www.kecksfoodservice.com</x:v>
      </x:c>
      <x:c r="Y104" s="54" t="n">
        <x:v>46217</x:v>
      </x:c>
      <x:c r="Z104" s="27" t="str">
        <x:v>Low</x:v>
      </x:c>
      <x:c r="AA104" s="27" t="str">
        <x:v>Review before seed</x:v>
      </x:c>
      <x:c r="AB104" s="27" t="str">
        <x:v>No</x:v>
      </x:c>
      <x:c r="AC104" s="27" t="str">
        <x:v>Direct website verified from directory/source; customer ordering route requires additional account-level or site-specific verification.</x:v>
      </x:c>
    </x:row>
    <x:row r="105">
      <x:c r="A105" s="27" t="str">
        <x:v>kehe_distributors</x:v>
      </x:c>
      <x:c r="B105" s="27" t="str">
        <x:v>KeHE Distributors</x:v>
      </x:c>
      <x:c r="C105" s="27" t="str"/>
      <x:c r="D105" s="27" t="str">
        <x:v>Direct foodservice distributor</x:v>
      </x:c>
      <x:c r="E105" s="27" t="str">
        <x:v>Natural / specialty distribution</x:v>
      </x:c>
      <x:c r="F105" s="27" t="str">
        <x:v>Active</x:v>
      </x:c>
      <x:c r="G105" s="27" t="str"/>
      <x:c r="H105" s="27" t="str">
        <x:v>United States</x:v>
      </x:c>
      <x:c r="I105" s="27" t="str">
        <x:v>US</x:v>
      </x:c>
      <x:c r="J105" s="27" t="str"/>
      <x:c r="K105" s="27" t="str">
        <x:v>National</x:v>
      </x:c>
      <x:c r="L105" s="27"/>
      <x:c r="M105" s="27"/>
      <x:c r="N105" s="27" t="str">
        <x:v>National natural and specialty distribution network.</x:v>
      </x:c>
      <x:c r="O105" s="27" t="str">
        <x:v>https://www.kehe.com</x:v>
      </x:c>
      <x:c r="P105" s="27" t="str">
        <x:v>kehe.com</x:v>
      </x:c>
      <x:c r="Q105" s="27"/>
      <x:c r="R105" s="27" t="str"/>
      <x:c r="S105" s="27" t="str">
        <x:v>Ordering portal not publicly verified</x:v>
      </x:c>
      <x:c r="T105" s="27"/>
      <x:c r="U105" s="27" t="str">
        <x:v>No public template located in this pass</x:v>
      </x:c>
      <x:c r="V105" s="27" t="str">
        <x:v>Supplemental research</x:v>
      </x:c>
      <x:c r="W105" s="27" t="str">
        <x:v>https://www.kehe.com</x:v>
      </x:c>
      <x:c r="X105" s="27" t="str">
        <x:v>https://www.kehe.com/about/distribution-centers/</x:v>
      </x:c>
      <x:c r="Y105" s="54" t="n">
        <x:v>46217</x:v>
      </x:c>
      <x:c r="Z105" s="27" t="str">
        <x:v>High</x:v>
      </x:c>
      <x:c r="AA105" s="27" t="str">
        <x:v>Approved seed</x:v>
      </x:c>
      <x:c r="AB105" s="27" t="str">
        <x:v>No</x:v>
      </x:c>
      <x:c r="AC105" s="27" t="str">
        <x:v>Direct website verified from directory/source; customer ordering route requires additional account-level or site-specific verification.</x:v>
      </x:c>
    </x:row>
    <x:row r="106">
      <x:c r="A106" s="27" t="str">
        <x:v>king_kold</x:v>
      </x:c>
      <x:c r="B106" s="27" t="str">
        <x:v>King Kold</x:v>
      </x:c>
      <x:c r="C106" s="27" t="str">
        <x:v>King Kold Quality Meats | King Kold Meats</x:v>
      </x:c>
      <x:c r="D106" s="27" t="str">
        <x:v>Direct foodservice distributor</x:v>
      </x:c>
      <x:c r="E106" s="27" t="str">
        <x:v>Meat and center-of-plate distribution</x:v>
      </x:c>
      <x:c r="F106" s="27" t="str">
        <x:v>Active</x:v>
      </x:c>
      <x:c r="G106" s="27" t="str"/>
      <x:c r="H106" s="27" t="str">
        <x:v>United States</x:v>
      </x:c>
      <x:c r="I106" s="27" t="str">
        <x:v>US</x:v>
      </x:c>
      <x:c r="J106" s="27" t="str">
        <x:v>Englewood, Ohio</x:v>
      </x:c>
      <x:c r="K106" s="27" t="str">
        <x:v>Regional</x:v>
      </x:c>
      <x:c r="L106" s="27" t="str">
        <x:v>Ohio</x:v>
      </x:c>
      <x:c r="M106" s="27" t="str">
        <x:v>OH</x:v>
      </x:c>
      <x:c r="N106" s="27" t="str">
        <x:v>Ohio-centered foodservice and wholesale meat distribution.</x:v>
      </x:c>
      <x:c r="O106" s="27" t="str">
        <x:v>https://kingkoldinc.com/</x:v>
      </x:c>
      <x:c r="P106" s="27" t="str">
        <x:v>kingkoldinc.com</x:v>
      </x:c>
      <x:c r="Q106" s="27" t="str">
        <x:v>https://kingkoldinc.com/shop-meat-sides/</x:v>
      </x:c>
      <x:c r="R106" s="27" t="str">
        <x:v>public_ecommerce</x:v>
      </x:c>
      <x:c r="S106" s="27" t="str">
        <x:v>Public product storefront</x:v>
      </x:c>
      <x:c r="T106" s="27" t="str"/>
      <x:c r="U106" s="27" t="str">
        <x:v>No public template located</x:v>
      </x:c>
      <x:c r="V106" s="27" t="str">
        <x:v>Golbon current/recent member</x:v>
      </x:c>
      <x:c r="W106" s="27" t="str">
        <x:v>https://golbon.com/press/golbon-welcomes-new-member-king-kold/</x:v>
      </x:c>
      <x:c r="X106" s="27" t="str">
        <x:v>https://kingkoldinc.com/food-service-customers/</x:v>
      </x:c>
      <x:c r="Y106" s="54" t="n">
        <x:v>46217</x:v>
      </x:c>
      <x:c r="Z106" s="27" t="str">
        <x:v>High</x:v>
      </x:c>
      <x:c r="AA106" s="27" t="str">
        <x:v>Approved seed</x:v>
      </x:c>
      <x:c r="AB106" s="27" t="str">
        <x:v>Yes</x:v>
      </x:c>
      <x:c r="AC106" s="27" t="str"/>
    </x:row>
    <x:row r="107">
      <x:c r="A107" s="27" t="str">
        <x:v>kohl_wholesale</x:v>
      </x:c>
      <x:c r="B107" s="27" t="str">
        <x:v>Kohl Wholesale</x:v>
      </x:c>
      <x:c r="C107" s="27" t="str"/>
      <x:c r="D107" s="27" t="str">
        <x:v>Direct foodservice distributor</x:v>
      </x:c>
      <x:c r="E107" s="27" t="str">
        <x:v>Broadline</x:v>
      </x:c>
      <x:c r="F107" s="27" t="str">
        <x:v>Active</x:v>
      </x:c>
      <x:c r="G107" s="27" t="str"/>
      <x:c r="H107" s="27" t="str">
        <x:v>United States</x:v>
      </x:c>
      <x:c r="I107" s="27" t="str">
        <x:v>US</x:v>
      </x:c>
      <x:c r="J107" s="27" t="str"/>
      <x:c r="K107" s="27" t="str">
        <x:v>Regional</x:v>
      </x:c>
      <x:c r="L107" s="27" t="str">
        <x:v>Illinois, Iowa, Missouri</x:v>
      </x:c>
      <x:c r="M107" s="27" t="str">
        <x:v>IL,IA,MO</x:v>
      </x:c>
      <x:c r="N107" s="27" t="str">
        <x:v>Publishes service in Illinois, Iowa and Missouri.</x:v>
      </x:c>
      <x:c r="O107" s="27" t="str">
        <x:v>https://www.kohlwholesale.com</x:v>
      </x:c>
      <x:c r="P107" s="27" t="str">
        <x:v>kohlwholesale.com</x:v>
      </x:c>
      <x:c r="Q107" s="27"/>
      <x:c r="R107" s="27" t="str"/>
      <x:c r="S107" s="27" t="str">
        <x:v>Ordering portal not publicly verified</x:v>
      </x:c>
      <x:c r="T107" s="27"/>
      <x:c r="U107" s="27" t="str">
        <x:v>No public template located in this pass</x:v>
      </x:c>
      <x:c r="V107" s="27" t="str">
        <x:v>IFDA 2026</x:v>
      </x:c>
      <x:c r="W107" s="27" t="str">
        <x:v>https://ifdaonline.org/distributor-members/</x:v>
      </x:c>
      <x:c r="X107" s="27" t="str">
        <x:v>https://www.kohlwholesale.com</x:v>
      </x:c>
      <x:c r="Y107" s="54" t="n">
        <x:v>46217</x:v>
      </x:c>
      <x:c r="Z107" s="27" t="str">
        <x:v>High</x:v>
      </x:c>
      <x:c r="AA107" s="27" t="str">
        <x:v>Approved seed</x:v>
      </x:c>
      <x:c r="AB107" s="27" t="str">
        <x:v>No</x:v>
      </x:c>
      <x:c r="AC107" s="27" t="str">
        <x:v>Direct website verified from directory/source; customer ordering route requires additional account-level or site-specific verification.</x:v>
      </x:c>
    </x:row>
    <x:row r="108">
      <x:c r="A108" s="27" t="str">
        <x:v>kos_distribution</x:v>
      </x:c>
      <x:c r="B108" s="27" t="str">
        <x:v>KOS Distribution</x:v>
      </x:c>
      <x:c r="C108" s="27" t="str"/>
      <x:c r="D108" s="27" t="str">
        <x:v>Direct foodservice distributor</x:v>
      </x:c>
      <x:c r="E108" s="27" t="str">
        <x:v>Hispanic / Latin American grocery and foodservice distribution</x:v>
      </x:c>
      <x:c r="F108" s="27" t="str">
        <x:v>Active</x:v>
      </x:c>
      <x:c r="G108" s="27" t="str"/>
      <x:c r="H108" s="27" t="str">
        <x:v>United States</x:v>
      </x:c>
      <x:c r="I108" s="27" t="str">
        <x:v>US</x:v>
      </x:c>
      <x:c r="J108" s="27" t="str">
        <x:v>Antioch, Tennessee</x:v>
      </x:c>
      <x:c r="K108" s="27" t="str">
        <x:v>Multi-regional</x:v>
      </x:c>
      <x:c r="L108" s="27" t="str">
        <x:v>Southeastern United States</x:v>
      </x:c>
      <x:c r="M108" s="27" t="str">
        <x:v>TN</x:v>
      </x:c>
      <x:c r="N108" s="27" t="str">
        <x:v>Southeast-focused distribution with broader U.S. sourcing; only Tennessee is auto-coded.</x:v>
      </x:c>
      <x:c r="O108" s="27" t="str">
        <x:v>https://kosdistribution.com/</x:v>
      </x:c>
      <x:c r="P108" s="27" t="str">
        <x:v>kosdistribution.com</x:v>
      </x:c>
      <x:c r="Q108" s="27" t="str"/>
      <x:c r="R108" s="27" t="str"/>
      <x:c r="S108" s="27" t="str">
        <x:v>Ordering portal not publicly verified</x:v>
      </x:c>
      <x:c r="T108" s="27" t="str"/>
      <x:c r="U108" s="27" t="str">
        <x:v>No public template located</x:v>
      </x:c>
      <x:c r="V108" s="27" t="str">
        <x:v>Frosty Acres 2025–2026 member</x:v>
      </x:c>
      <x:c r="W108" s="27" t="str">
        <x:v>https://www.frostyacres.com/news/31f704a5-135a-4ed2-aacd-52e77181df60</x:v>
      </x:c>
      <x:c r="X108" s="27" t="str">
        <x:v>https://kosdistribution.com/about-us/</x:v>
      </x:c>
      <x:c r="Y108" s="54" t="n">
        <x:v>46217</x:v>
      </x:c>
      <x:c r="Z108" s="27" t="str">
        <x:v>High</x:v>
      </x:c>
      <x:c r="AA108" s="27" t="str">
        <x:v>Approved seed</x:v>
      </x:c>
      <x:c r="AB108" s="27" t="str">
        <x:v>Yes</x:v>
      </x:c>
      <x:c r="AC108" s="27" t="str"/>
    </x:row>
    <x:row r="109">
      <x:c r="A109" s="27" t="str">
        <x:v>kuna_foodservice</x:v>
      </x:c>
      <x:c r="B109" s="27" t="str">
        <x:v>Kuna Foodservice</x:v>
      </x:c>
      <x:c r="C109" s="27" t="str"/>
      <x:c r="D109" s="27" t="str">
        <x:v>Direct foodservice distributor</x:v>
      </x:c>
      <x:c r="E109" s="27" t="str">
        <x:v>Broadline</x:v>
      </x:c>
      <x:c r="F109" s="27" t="str">
        <x:v>Active</x:v>
      </x:c>
      <x:c r="G109" s="27" t="str"/>
      <x:c r="H109" s="27" t="str">
        <x:v>United States</x:v>
      </x:c>
      <x:c r="I109" s="27" t="str">
        <x:v>US</x:v>
      </x:c>
      <x:c r="J109" s="27" t="str"/>
      <x:c r="K109" s="27" t="str">
        <x:v>Multi-regional</x:v>
      </x:c>
      <x:c r="L109" s="27" t="str">
        <x:v>Missouri, Illinois, Iowa, Wisconsin, Indiana, Michigan, Kentucky, Ohio, Arkansas, Mississippi, Alabama</x:v>
      </x:c>
      <x:c r="M109" s="27" t="str">
        <x:v>MO,IL,IA,WI,IN,MI,KY,OH,AR,MS,AL</x:v>
      </x:c>
      <x:c r="N109" s="27" t="str">
        <x:v>Official site names these states within a larger reported multi-state footprint.</x:v>
      </x:c>
      <x:c r="O109" s="27" t="str">
        <x:v>https://www.kunafoodservice.com</x:v>
      </x:c>
      <x:c r="P109" s="27" t="str">
        <x:v>kunafoodservice.com</x:v>
      </x:c>
      <x:c r="Q109" s="27"/>
      <x:c r="R109" s="27" t="str"/>
      <x:c r="S109" s="27" t="str">
        <x:v>Ordering portal not publicly verified</x:v>
      </x:c>
      <x:c r="T109" s="27"/>
      <x:c r="U109" s="27" t="str">
        <x:v>No public template located in this pass</x:v>
      </x:c>
      <x:c r="V109" s="27" t="str">
        <x:v>IFDA 2026</x:v>
      </x:c>
      <x:c r="W109" s="27" t="str">
        <x:v>https://ifdaonline.org/distributor-members/</x:v>
      </x:c>
      <x:c r="X109" s="27" t="str">
        <x:v>https://www.kunafoodservice.com</x:v>
      </x:c>
      <x:c r="Y109" s="54" t="n">
        <x:v>46217</x:v>
      </x:c>
      <x:c r="Z109" s="27" t="str">
        <x:v>High</x:v>
      </x:c>
      <x:c r="AA109" s="27" t="str">
        <x:v>Approved seed</x:v>
      </x:c>
      <x:c r="AB109" s="27" t="str">
        <x:v>No</x:v>
      </x:c>
      <x:c r="AC109" s="27" t="str">
        <x:v>Direct website verified from directory/source; customer ordering route requires additional account-level or site-specific verification.</x:v>
      </x:c>
    </x:row>
    <x:row r="110">
      <x:c r="A110" s="27" t="str">
        <x:v>latina_boulevard_foods</x:v>
      </x:c>
      <x:c r="B110" s="27" t="str">
        <x:v>Latina Boulevard Foods</x:v>
      </x:c>
      <x:c r="C110" s="27" t="str"/>
      <x:c r="D110" s="27" t="str">
        <x:v>Direct foodservice distributor</x:v>
      </x:c>
      <x:c r="E110" s="27" t="str">
        <x:v>Hispanic / specialty</x:v>
      </x:c>
      <x:c r="F110" s="27" t="str">
        <x:v>Active</x:v>
      </x:c>
      <x:c r="G110" s="27" t="str"/>
      <x:c r="H110" s="27" t="str">
        <x:v>United States</x:v>
      </x:c>
      <x:c r="I110" s="27" t="str">
        <x:v>US</x:v>
      </x:c>
      <x:c r="J110" s="27" t="str"/>
      <x:c r="K110" s="27" t="str">
        <x:v>Regional</x:v>
      </x:c>
      <x:c r="L110" s="27" t="str">
        <x:v>Florida, Georgia</x:v>
      </x:c>
      <x:c r="M110" s="27" t="str">
        <x:v>FL,GA</x:v>
      </x:c>
      <x:c r="N110" s="27" t="str">
        <x:v>Florida-centered Hispanic and specialty distribution.</x:v>
      </x:c>
      <x:c r="O110" s="27" t="str">
        <x:v>https://www.latinaboulevardfoods.com</x:v>
      </x:c>
      <x:c r="P110" s="27" t="str">
        <x:v>latinaboulevardfoods.com</x:v>
      </x:c>
      <x:c r="Q110" s="27"/>
      <x:c r="R110" s="27" t="str"/>
      <x:c r="S110" s="27" t="str">
        <x:v>Ordering portal not publicly verified</x:v>
      </x:c>
      <x:c r="T110" s="27"/>
      <x:c r="U110" s="27" t="str">
        <x:v>No public template located in this pass</x:v>
      </x:c>
      <x:c r="V110" s="27" t="str">
        <x:v>IFDA 2026</x:v>
      </x:c>
      <x:c r="W110" s="27" t="str">
        <x:v>https://ifdaonline.org/distributor-members/</x:v>
      </x:c>
      <x:c r="X110" s="27" t="str">
        <x:v>https://www.latinaboulevardfoods.com</x:v>
      </x:c>
      <x:c r="Y110" s="54" t="n">
        <x:v>46217</x:v>
      </x:c>
      <x:c r="Z110" s="27" t="str">
        <x:v>Low</x:v>
      </x:c>
      <x:c r="AA110" s="27" t="str">
        <x:v>Review before seed</x:v>
      </x:c>
      <x:c r="AB110" s="27" t="str">
        <x:v>No</x:v>
      </x:c>
      <x:c r="AC110" s="27" t="str">
        <x:v>Direct website verified from directory/source; customer ordering route requires additional account-level or site-specific verification.</x:v>
      </x:c>
    </x:row>
    <x:row r="111">
      <x:c r="A111" s="27" t="str">
        <x:v>legacy_food_group</x:v>
      </x:c>
      <x:c r="B111" s="27" t="str">
        <x:v>Legacy Food Group</x:v>
      </x:c>
      <x:c r="C111" s="27" t="str"/>
      <x:c r="D111" s="27" t="str">
        <x:v>Distributor network / cooperative</x:v>
      </x:c>
      <x:c r="E111" s="27" t="str">
        <x:v>Distributor network</x:v>
      </x:c>
      <x:c r="F111" s="27" t="str">
        <x:v>Active</x:v>
      </x:c>
      <x:c r="G111" s="27" t="str"/>
      <x:c r="H111" s="27" t="str">
        <x:v>United States</x:v>
      </x:c>
      <x:c r="I111" s="27" t="str">
        <x:v>US</x:v>
      </x:c>
      <x:c r="J111" s="27" t="str"/>
      <x:c r="K111" s="27" t="str">
        <x:v>Distributor network</x:v>
      </x:c>
      <x:c r="L111" s="27"/>
      <x:c r="M111" s="27"/>
      <x:c r="N111" s="27" t="str">
        <x:v>Distributor network; use an operating member for customer-level matching.</x:v>
      </x:c>
      <x:c r="O111" s="27" t="str">
        <x:v>https://legacyfoodgroup.com</x:v>
      </x:c>
      <x:c r="P111" s="27" t="str">
        <x:v>legacyfoodgroup.com</x:v>
      </x:c>
      <x:c r="Q111" s="27"/>
      <x:c r="R111" s="27" t="str"/>
      <x:c r="S111" s="27" t="str">
        <x:v>Network/cooperative — not an operator ordering portal</x:v>
      </x:c>
      <x:c r="T111" s="27"/>
      <x:c r="U111" s="27" t="str">
        <x:v>No public template located in this pass</x:v>
      </x:c>
      <x:c r="V111" s="27" t="str">
        <x:v>IFDA 2026</x:v>
      </x:c>
      <x:c r="W111" s="27" t="str">
        <x:v>https://ifdaonline.org/distributor-members/</x:v>
      </x:c>
      <x:c r="X111" s="27" t="str">
        <x:v>https://legacyfoodgroup.com</x:v>
      </x:c>
      <x:c r="Y111" s="54" t="n">
        <x:v>46217</x:v>
      </x:c>
      <x:c r="Z111" s="27" t="str">
        <x:v>High</x:v>
      </x:c>
      <x:c r="AA111" s="27" t="str">
        <x:v>Reference only</x:v>
      </x:c>
      <x:c r="AB111" s="27" t="str">
        <x:v>No</x:v>
      </x:c>
      <x:c r="AC111" s="27" t="str">
        <x:v>Direct website verified from directory/source; customer ordering route requires additional account-level or site-specific verification.</x:v>
      </x:c>
    </x:row>
    <x:row r="112">
      <x:c r="A112" s="27" t="str">
        <x:v>loffredo_fresh_foods</x:v>
      </x:c>
      <x:c r="B112" s="27" t="str">
        <x:v>Loffredo Fresh Foods</x:v>
      </x:c>
      <x:c r="C112" s="27" t="str"/>
      <x:c r="D112" s="27" t="str">
        <x:v>Direct foodservice distributor</x:v>
      </x:c>
      <x:c r="E112" s="27" t="str">
        <x:v>Produce / broadline</x:v>
      </x:c>
      <x:c r="F112" s="27" t="str">
        <x:v>Active</x:v>
      </x:c>
      <x:c r="G112" s="27" t="str"/>
      <x:c r="H112" s="27" t="str">
        <x:v>United States</x:v>
      </x:c>
      <x:c r="I112" s="27" t="str">
        <x:v>US</x:v>
      </x:c>
      <x:c r="J112" s="27" t="str"/>
      <x:c r="K112" s="27" t="str">
        <x:v>Multi-regional</x:v>
      </x:c>
      <x:c r="L112" s="27" t="str">
        <x:v>Iowa, Nebraska, Illinois, Missouri, Wisconsin</x:v>
      </x:c>
      <x:c r="M112" s="27" t="str">
        <x:v>IA,NE,IL,MO,WI</x:v>
      </x:c>
      <x:c r="N112" s="27" t="str">
        <x:v>Facilities and markets include Des Moines, Omaha, the Quad Cities, Kansas City and Madison.</x:v>
      </x:c>
      <x:c r="O112" s="27" t="str">
        <x:v>https://www.loffredo.com</x:v>
      </x:c>
      <x:c r="P112" s="27" t="str">
        <x:v>loffredo.com</x:v>
      </x:c>
      <x:c r="Q112" s="27"/>
      <x:c r="R112" s="27" t="str"/>
      <x:c r="S112" s="27" t="str">
        <x:v>Ordering portal not publicly verified</x:v>
      </x:c>
      <x:c r="T112" s="27"/>
      <x:c r="U112" s="27" t="str">
        <x:v>No public template located in this pass</x:v>
      </x:c>
      <x:c r="V112" s="27" t="str">
        <x:v>IFDA 2026</x:v>
      </x:c>
      <x:c r="W112" s="27" t="str">
        <x:v>https://ifdaonline.org/distributor-members/</x:v>
      </x:c>
      <x:c r="X112" s="27" t="str">
        <x:v>https://www.loffredo.com</x:v>
      </x:c>
      <x:c r="Y112" s="54" t="n">
        <x:v>46217</x:v>
      </x:c>
      <x:c r="Z112" s="27" t="str">
        <x:v>High</x:v>
      </x:c>
      <x:c r="AA112" s="27" t="str">
        <x:v>Approved seed</x:v>
      </x:c>
      <x:c r="AB112" s="27" t="str">
        <x:v>No</x:v>
      </x:c>
      <x:c r="AC112" s="27" t="str">
        <x:v>Direct website verified from directory/source; customer ordering route requires additional account-level or site-specific verification.</x:v>
      </x:c>
    </x:row>
    <x:row r="113">
      <x:c r="A113" s="27" t="str">
        <x:v>lumina_foods_llc</x:v>
      </x:c>
      <x:c r="B113" s="27" t="str">
        <x:v>Lumina Foods, LLC</x:v>
      </x:c>
      <x:c r="C113" s="27" t="str"/>
      <x:c r="D113" s="27" t="str">
        <x:v>Direct foodservice distributor</x:v>
      </x:c>
      <x:c r="E113" s="27" t="str">
        <x:v>Pizza / specialty</x:v>
      </x:c>
      <x:c r="F113" s="27" t="str">
        <x:v>Active</x:v>
      </x:c>
      <x:c r="G113" s="27" t="str"/>
      <x:c r="H113" s="27" t="str">
        <x:v>United States</x:v>
      </x:c>
      <x:c r="I113" s="27" t="str">
        <x:v>US</x:v>
      </x:c>
      <x:c r="J113" s="27" t="str"/>
      <x:c r="K113" s="27" t="str">
        <x:v>Regional</x:v>
      </x:c>
      <x:c r="L113" s="27" t="str">
        <x:v>Tennessee, Kentucky, Georgia, Alabama, Indiana, Ohio</x:v>
      </x:c>
      <x:c r="M113" s="27" t="str">
        <x:v>TN,KY,GA,AL,IN,OH</x:v>
      </x:c>
      <x:c r="N113" s="27" t="str">
        <x:v>Nashville-centered pizza and specialty distribution.</x:v>
      </x:c>
      <x:c r="O113" s="27" t="str">
        <x:v>https://luminafoods.com</x:v>
      </x:c>
      <x:c r="P113" s="27" t="str">
        <x:v>luminafoods.com</x:v>
      </x:c>
      <x:c r="Q113" s="27"/>
      <x:c r="R113" s="27" t="str"/>
      <x:c r="S113" s="27" t="str">
        <x:v>Ordering portal not publicly verified</x:v>
      </x:c>
      <x:c r="T113" s="27"/>
      <x:c r="U113" s="27" t="str">
        <x:v>No public template located in this pass</x:v>
      </x:c>
      <x:c r="V113" s="27" t="str">
        <x:v>IFDA 2026</x:v>
      </x:c>
      <x:c r="W113" s="27" t="str">
        <x:v>https://ifdaonline.org/distributor-members/</x:v>
      </x:c>
      <x:c r="X113" s="27" t="str">
        <x:v>https://luminafoods.com</x:v>
      </x:c>
      <x:c r="Y113" s="54" t="n">
        <x:v>46217</x:v>
      </x:c>
      <x:c r="Z113" s="27" t="str">
        <x:v>Low</x:v>
      </x:c>
      <x:c r="AA113" s="27" t="str">
        <x:v>Review before seed</x:v>
      </x:c>
      <x:c r="AB113" s="27" t="str">
        <x:v>No</x:v>
      </x:c>
      <x:c r="AC113" s="27" t="str">
        <x:v>Direct website verified from directory/source; customer ordering route requires additional account-level or site-specific verification.</x:v>
      </x:c>
    </x:row>
    <x:row r="114">
      <x:c r="A114" s="27" t="str">
        <x:v>m_j_kellner_company_inc</x:v>
      </x:c>
      <x:c r="B114" s="27" t="str">
        <x:v>M.J. Kellner Company, Inc.</x:v>
      </x:c>
      <x:c r="C114" s="27" t="str"/>
      <x:c r="D114" s="27" t="str">
        <x:v>Direct foodservice distributor</x:v>
      </x:c>
      <x:c r="E114" s="27" t="str">
        <x:v>Broadline</x:v>
      </x:c>
      <x:c r="F114" s="27" t="str">
        <x:v>Active</x:v>
      </x:c>
      <x:c r="G114" s="27" t="str"/>
      <x:c r="H114" s="27" t="str">
        <x:v>United States</x:v>
      </x:c>
      <x:c r="I114" s="27" t="str">
        <x:v>US</x:v>
      </x:c>
      <x:c r="J114" s="27" t="str"/>
      <x:c r="K114" s="27" t="str">
        <x:v>Regional</x:v>
      </x:c>
      <x:c r="L114" s="27" t="str">
        <x:v>Illinois, Missouri, Indiana, Iowa</x:v>
      </x:c>
      <x:c r="M114" s="27" t="str">
        <x:v>IL,MO,IN,IA</x:v>
      </x:c>
      <x:c r="N114" s="27" t="str">
        <x:v>Illinois-centered regional distribution.</x:v>
      </x:c>
      <x:c r="O114" s="27" t="str">
        <x:v>https://www.mjkellner.com</x:v>
      </x:c>
      <x:c r="P114" s="27" t="str">
        <x:v>mjkellner.com</x:v>
      </x:c>
      <x:c r="Q114" s="27"/>
      <x:c r="R114" s="27" t="str"/>
      <x:c r="S114" s="27" t="str">
        <x:v>Ordering portal not publicly verified</x:v>
      </x:c>
      <x:c r="T114" s="27"/>
      <x:c r="U114" s="27" t="str">
        <x:v>No public template located in this pass</x:v>
      </x:c>
      <x:c r="V114" s="27" t="str">
        <x:v>IFDA 2026</x:v>
      </x:c>
      <x:c r="W114" s="27" t="str">
        <x:v>https://ifdaonline.org/distributor-members/</x:v>
      </x:c>
      <x:c r="X114" s="27" t="str">
        <x:v>https://www.mjkellner.com</x:v>
      </x:c>
      <x:c r="Y114" s="54" t="n">
        <x:v>46217</x:v>
      </x:c>
      <x:c r="Z114" s="27" t="str">
        <x:v>Low</x:v>
      </x:c>
      <x:c r="AA114" s="27" t="str">
        <x:v>Review before seed</x:v>
      </x:c>
      <x:c r="AB114" s="27" t="str">
        <x:v>No</x:v>
      </x:c>
      <x:c r="AC114" s="27" t="str">
        <x:v>Direct website verified from directory/source; customer ordering route requires additional account-level or site-specific verification.</x:v>
      </x:c>
    </x:row>
    <x:row r="115">
      <x:c r="A115" s="27" t="str">
        <x:v>maplevale_farms_inc</x:v>
      </x:c>
      <x:c r="B115" s="27" t="str">
        <x:v>Maplevale Farms, Inc.</x:v>
      </x:c>
      <x:c r="C115" s="27" t="str"/>
      <x:c r="D115" s="27" t="str">
        <x:v>Direct foodservice distributor</x:v>
      </x:c>
      <x:c r="E115" s="27" t="str">
        <x:v>Broadline</x:v>
      </x:c>
      <x:c r="F115" s="27" t="str">
        <x:v>Active</x:v>
      </x:c>
      <x:c r="G115" s="27" t="str"/>
      <x:c r="H115" s="27" t="str">
        <x:v>United States</x:v>
      </x:c>
      <x:c r="I115" s="27" t="str">
        <x:v>US</x:v>
      </x:c>
      <x:c r="J115" s="27" t="str"/>
      <x:c r="K115" s="27" t="str">
        <x:v>Regional</x:v>
      </x:c>
      <x:c r="L115" s="27" t="str">
        <x:v>New York, Pennsylvania, Ohio</x:v>
      </x:c>
      <x:c r="M115" s="27" t="str">
        <x:v>NY,PA,OH</x:v>
      </x:c>
      <x:c r="N115" s="27" t="str">
        <x:v>Western New York, northwestern Pennsylvania and eastern Ohio.</x:v>
      </x:c>
      <x:c r="O115" s="27" t="str">
        <x:v>https://maplevalefarms.com</x:v>
      </x:c>
      <x:c r="P115" s="27" t="str">
        <x:v>maplevalefarms.com</x:v>
      </x:c>
      <x:c r="Q115" s="27"/>
      <x:c r="R115" s="27" t="str"/>
      <x:c r="S115" s="27" t="str">
        <x:v>Ordering portal not publicly verified</x:v>
      </x:c>
      <x:c r="T115" s="27"/>
      <x:c r="U115" s="27" t="str">
        <x:v>No public template located in this pass</x:v>
      </x:c>
      <x:c r="V115" s="27" t="str">
        <x:v>IFDA 2026</x:v>
      </x:c>
      <x:c r="W115" s="27" t="str">
        <x:v>https://ifdaonline.org/distributor-members/</x:v>
      </x:c>
      <x:c r="X115" s="27" t="str">
        <x:v>https://maplevalefarms.com</x:v>
      </x:c>
      <x:c r="Y115" s="54" t="n">
        <x:v>46217</x:v>
      </x:c>
      <x:c r="Z115" s="27" t="str">
        <x:v>High</x:v>
      </x:c>
      <x:c r="AA115" s="27" t="str">
        <x:v>Approved seed</x:v>
      </x:c>
      <x:c r="AB115" s="27" t="str">
        <x:v>No</x:v>
      </x:c>
      <x:c r="AC115" s="27" t="str">
        <x:v>Direct website verified from directory/source; customer ordering route requires additional account-level or site-specific verification.</x:v>
      </x:c>
    </x:row>
    <x:row r="116">
      <x:c r="A116" s="27" t="str">
        <x:v>martin_bros_distributing_co_inc</x:v>
      </x:c>
      <x:c r="B116" s="27" t="str">
        <x:v>Martin Bros. Distributing Co., Inc.</x:v>
      </x:c>
      <x:c r="C116" s="27" t="str"/>
      <x:c r="D116" s="27" t="str">
        <x:v>Direct foodservice distributor</x:v>
      </x:c>
      <x:c r="E116" s="27" t="str">
        <x:v>Broadline</x:v>
      </x:c>
      <x:c r="F116" s="27" t="str">
        <x:v>Active</x:v>
      </x:c>
      <x:c r="G116" s="27" t="str"/>
      <x:c r="H116" s="27" t="str">
        <x:v>United States</x:v>
      </x:c>
      <x:c r="I116" s="27" t="str">
        <x:v>US</x:v>
      </x:c>
      <x:c r="J116" s="27" t="str"/>
      <x:c r="K116" s="27" t="str">
        <x:v>Multi-regional</x:v>
      </x:c>
      <x:c r="L116" s="27" t="str">
        <x:v>Iowa, Illinois, Wisconsin, Nebraska, Missouri, Minnesota</x:v>
      </x:c>
      <x:c r="M116" s="27" t="str">
        <x:v>IA,IL,WI,NE,MO,MN</x:v>
      </x:c>
      <x:c r="N116" s="27" t="str">
        <x:v>Publishes service across six Midwestern states.</x:v>
      </x:c>
      <x:c r="O116" s="27" t="str">
        <x:v>https://www2.martinsnet.com</x:v>
      </x:c>
      <x:c r="P116" s="27" t="str">
        <x:v>www2.martinsnet.com</x:v>
      </x:c>
      <x:c r="Q116" s="27"/>
      <x:c r="R116" s="27" t="str"/>
      <x:c r="S116" s="27" t="str">
        <x:v>Ordering portal not publicly verified</x:v>
      </x:c>
      <x:c r="T116" s="27"/>
      <x:c r="U116" s="27" t="str">
        <x:v>No public template located in this pass</x:v>
      </x:c>
      <x:c r="V116" s="27" t="str">
        <x:v>IFDA 2026</x:v>
      </x:c>
      <x:c r="W116" s="27" t="str">
        <x:v>https://ifdaonline.org/distributor-members/</x:v>
      </x:c>
      <x:c r="X116" s="27" t="str">
        <x:v>https://www2.martinsnet.com</x:v>
      </x:c>
      <x:c r="Y116" s="54" t="n">
        <x:v>46217</x:v>
      </x:c>
      <x:c r="Z116" s="27" t="str">
        <x:v>High</x:v>
      </x:c>
      <x:c r="AA116" s="27" t="str">
        <x:v>Approved seed</x:v>
      </x:c>
      <x:c r="AB116" s="27" t="str">
        <x:v>No</x:v>
      </x:c>
      <x:c r="AC116" s="27" t="str">
        <x:v>Direct website verified from directory/source; customer ordering route requires additional account-level or site-specific verification.</x:v>
      </x:c>
    </x:row>
    <x:row r="117">
      <x:c r="A117" s="27" t="str">
        <x:v>maximum_quality_foods</x:v>
      </x:c>
      <x:c r="B117" s="27" t="str">
        <x:v>Maximum Quality Foods</x:v>
      </x:c>
      <x:c r="C117" s="27" t="str"/>
      <x:c r="D117" s="27" t="str">
        <x:v>Direct foodservice distributor</x:v>
      </x:c>
      <x:c r="E117" s="27" t="str">
        <x:v>Broadline / specialty</x:v>
      </x:c>
      <x:c r="F117" s="27" t="str">
        <x:v>Active</x:v>
      </x:c>
      <x:c r="G117" s="27" t="str"/>
      <x:c r="H117" s="27" t="str">
        <x:v>United States</x:v>
      </x:c>
      <x:c r="I117" s="27" t="str">
        <x:v>US</x:v>
      </x:c>
      <x:c r="J117" s="27" t="str"/>
      <x:c r="K117" s="27" t="str">
        <x:v>Regional</x:v>
      </x:c>
      <x:c r="L117" s="27" t="str">
        <x:v>New Jersey, New York, Pennsylvania, Connecticut, Delaware, Maryland</x:v>
      </x:c>
      <x:c r="M117" s="27" t="str">
        <x:v>NJ,NY,PA,CT,DE,MD</x:v>
      </x:c>
      <x:c r="N117" s="27" t="str">
        <x:v>New Jersey-centered specialty and broadline distribution.</x:v>
      </x:c>
      <x:c r="O117" s="27" t="str">
        <x:v>https://maximumqualityfoods.com</x:v>
      </x:c>
      <x:c r="P117" s="27" t="str">
        <x:v>maximumqualityfoods.com</x:v>
      </x:c>
      <x:c r="Q117" s="27"/>
      <x:c r="R117" s="27" t="str"/>
      <x:c r="S117" s="27" t="str">
        <x:v>Ordering portal not publicly verified</x:v>
      </x:c>
      <x:c r="T117" s="27"/>
      <x:c r="U117" s="27" t="str">
        <x:v>No public template located in this pass</x:v>
      </x:c>
      <x:c r="V117" s="27" t="str">
        <x:v>IFDA 2026</x:v>
      </x:c>
      <x:c r="W117" s="27" t="str">
        <x:v>https://ifdaonline.org/distributor-members/</x:v>
      </x:c>
      <x:c r="X117" s="27" t="str">
        <x:v>https://maximumqualityfoods.com</x:v>
      </x:c>
      <x:c r="Y117" s="54" t="n">
        <x:v>46217</x:v>
      </x:c>
      <x:c r="Z117" s="27" t="str">
        <x:v>Low</x:v>
      </x:c>
      <x:c r="AA117" s="27" t="str">
        <x:v>Review before seed</x:v>
      </x:c>
      <x:c r="AB117" s="27" t="str">
        <x:v>No</x:v>
      </x:c>
      <x:c r="AC117" s="27" t="str">
        <x:v>Direct website verified from directory/source; customer ordering route requires additional account-level or site-specific verification.</x:v>
      </x:c>
    </x:row>
    <x:row r="118">
      <x:c r="A118" s="27" t="str">
        <x:v>mcdonald_wholesale_company</x:v>
      </x:c>
      <x:c r="B118" s="27" t="str">
        <x:v>McDonald Wholesale Company</x:v>
      </x:c>
      <x:c r="C118" s="27" t="str"/>
      <x:c r="D118" s="27" t="str">
        <x:v>Direct foodservice distributor</x:v>
      </x:c>
      <x:c r="E118" s="27" t="str">
        <x:v>Broadline</x:v>
      </x:c>
      <x:c r="F118" s="27" t="str">
        <x:v>Active</x:v>
      </x:c>
      <x:c r="G118" s="27" t="str"/>
      <x:c r="H118" s="27" t="str">
        <x:v>United States</x:v>
      </x:c>
      <x:c r="I118" s="27" t="str">
        <x:v>US</x:v>
      </x:c>
      <x:c r="J118" s="27" t="str"/>
      <x:c r="K118" s="27" t="str">
        <x:v>Regional</x:v>
      </x:c>
      <x:c r="L118" s="27" t="str">
        <x:v>Oregon, Washington, Idaho, California</x:v>
      </x:c>
      <x:c r="M118" s="27" t="str">
        <x:v>OR,WA,ID,CA</x:v>
      </x:c>
      <x:c r="N118" s="27" t="str">
        <x:v>Oregon-centered Pacific Northwest distribution, with nearby routes.</x:v>
      </x:c>
      <x:c r="O118" s="27" t="str">
        <x:v>https://www.mcdonaldwhsl.com</x:v>
      </x:c>
      <x:c r="P118" s="27" t="str">
        <x:v>mcdonaldwhsl.com</x:v>
      </x:c>
      <x:c r="Q118" s="27"/>
      <x:c r="R118" s="27" t="str"/>
      <x:c r="S118" s="27" t="str">
        <x:v>Ordering portal not publicly verified</x:v>
      </x:c>
      <x:c r="T118" s="27"/>
      <x:c r="U118" s="27" t="str">
        <x:v>No public template located in this pass</x:v>
      </x:c>
      <x:c r="V118" s="27" t="str">
        <x:v>IFDA 2026</x:v>
      </x:c>
      <x:c r="W118" s="27" t="str">
        <x:v>https://ifdaonline.org/distributor-members/</x:v>
      </x:c>
      <x:c r="X118" s="27" t="str">
        <x:v>https://www.mcdonaldwhsl.com</x:v>
      </x:c>
      <x:c r="Y118" s="54" t="n">
        <x:v>46217</x:v>
      </x:c>
      <x:c r="Z118" s="27" t="str">
        <x:v>Low</x:v>
      </x:c>
      <x:c r="AA118" s="27" t="str">
        <x:v>Review before seed</x:v>
      </x:c>
      <x:c r="AB118" s="27" t="str">
        <x:v>No</x:v>
      </x:c>
      <x:c r="AC118" s="27" t="str">
        <x:v>Direct website verified from directory/source; customer ordering route requires additional account-level or site-specific verification.</x:v>
      </x:c>
    </x:row>
    <x:row r="119">
      <x:c r="A119" s="27" t="str">
        <x:v>mclane_foodservice_inc</x:v>
      </x:c>
      <x:c r="B119" s="27" t="str">
        <x:v>McLane Foodservice, Inc.</x:v>
      </x:c>
      <x:c r="C119" s="27" t="str"/>
      <x:c r="D119" s="27" t="str">
        <x:v>Direct foodservice distributor</x:v>
      </x:c>
      <x:c r="E119" s="27" t="str">
        <x:v>National chain / convenience</x:v>
      </x:c>
      <x:c r="F119" s="27" t="str">
        <x:v>Active</x:v>
      </x:c>
      <x:c r="G119" s="27" t="str"/>
      <x:c r="H119" s="27" t="str">
        <x:v>United States</x:v>
      </x:c>
      <x:c r="I119" s="27" t="str">
        <x:v>US</x:v>
      </x:c>
      <x:c r="J119" s="27" t="str"/>
      <x:c r="K119" s="27" t="str">
        <x:v>National</x:v>
      </x:c>
      <x:c r="L119" s="27"/>
      <x:c r="M119" s="27"/>
      <x:c r="N119" s="27" t="str">
        <x:v>National chain, convenience and foodservice logistics network.</x:v>
      </x:c>
      <x:c r="O119" s="27" t="str">
        <x:v>https://www.mclaneco.com</x:v>
      </x:c>
      <x:c r="P119" s="27" t="str">
        <x:v>mclaneco.com</x:v>
      </x:c>
      <x:c r="Q119" s="27"/>
      <x:c r="R119" s="27" t="str"/>
      <x:c r="S119" s="27" t="str">
        <x:v>Ordering portal not publicly verified</x:v>
      </x:c>
      <x:c r="T119" s="27"/>
      <x:c r="U119" s="27" t="str">
        <x:v>No public template located in this pass</x:v>
      </x:c>
      <x:c r="V119" s="27" t="str">
        <x:v>IFDA 2026</x:v>
      </x:c>
      <x:c r="W119" s="27" t="str">
        <x:v>https://ifdaonline.org/distributor-members/</x:v>
      </x:c>
      <x:c r="X119" s="27" t="str">
        <x:v>https://www.mclaneco.com</x:v>
      </x:c>
      <x:c r="Y119" s="54" t="n">
        <x:v>46217</x:v>
      </x:c>
      <x:c r="Z119" s="27" t="str">
        <x:v>High</x:v>
      </x:c>
      <x:c r="AA119" s="27" t="str">
        <x:v>Approved seed</x:v>
      </x:c>
      <x:c r="AB119" s="27" t="str">
        <x:v>No</x:v>
      </x:c>
      <x:c r="AC119" s="27" t="str">
        <x:v>Direct website verified from directory/source; customer ordering route requires additional account-level or site-specific verification.</x:v>
      </x:c>
    </x:row>
    <x:row r="120">
      <x:c r="A120" s="27" t="str">
        <x:v>merchants_grocery_co_inc</x:v>
      </x:c>
      <x:c r="B120" s="27" t="str">
        <x:v>Merchants Grocery Co. Inc.</x:v>
      </x:c>
      <x:c r="C120" s="27" t="str"/>
      <x:c r="D120" s="27" t="str">
        <x:v>Direct foodservice distributor</x:v>
      </x:c>
      <x:c r="E120" s="27" t="str">
        <x:v>Convenience / foodservice</x:v>
      </x:c>
      <x:c r="F120" s="27" t="str">
        <x:v>Active</x:v>
      </x:c>
      <x:c r="G120" s="27" t="str"/>
      <x:c r="H120" s="27" t="str">
        <x:v>United States</x:v>
      </x:c>
      <x:c r="I120" s="27" t="str">
        <x:v>US</x:v>
      </x:c>
      <x:c r="J120" s="27" t="str"/>
      <x:c r="K120" s="27" t="str">
        <x:v>Regional</x:v>
      </x:c>
      <x:c r="L120" s="27" t="str">
        <x:v>Virginia, West Virginia, Maryland, North Carolina, Pennsylvania</x:v>
      </x:c>
      <x:c r="M120" s="27" t="str">
        <x:v>VA,WV,MD,NC,PA</x:v>
      </x:c>
      <x:c r="N120" s="27" t="str">
        <x:v>Virginia-centered convenience and foodservice distribution.</x:v>
      </x:c>
      <x:c r="O120" s="27" t="str">
        <x:v>https://merchants-grocery.com</x:v>
      </x:c>
      <x:c r="P120" s="27" t="str">
        <x:v>merchants-grocery.com</x:v>
      </x:c>
      <x:c r="Q120" s="27"/>
      <x:c r="R120" s="27" t="str"/>
      <x:c r="S120" s="27" t="str">
        <x:v>Ordering portal not publicly verified</x:v>
      </x:c>
      <x:c r="T120" s="27"/>
      <x:c r="U120" s="27" t="str">
        <x:v>No public template located in this pass</x:v>
      </x:c>
      <x:c r="V120" s="27" t="str">
        <x:v>IFDA 2026</x:v>
      </x:c>
      <x:c r="W120" s="27" t="str">
        <x:v>https://ifdaonline.org/distributor-members/</x:v>
      </x:c>
      <x:c r="X120" s="27" t="str">
        <x:v>https://merchants-grocery.com</x:v>
      </x:c>
      <x:c r="Y120" s="54" t="n">
        <x:v>46217</x:v>
      </x:c>
      <x:c r="Z120" s="27" t="str">
        <x:v>Low</x:v>
      </x:c>
      <x:c r="AA120" s="27" t="str">
        <x:v>Review before seed</x:v>
      </x:c>
      <x:c r="AB120" s="27" t="str">
        <x:v>No</x:v>
      </x:c>
      <x:c r="AC120" s="27" t="str">
        <x:v>Direct website verified from directory/source; customer ordering route requires additional account-level or site-specific verification.</x:v>
      </x:c>
    </x:row>
    <x:row r="121">
      <x:c r="A121" s="27" t="str">
        <x:v>miller_distributing</x:v>
      </x:c>
      <x:c r="B121" s="27" t="str">
        <x:v>Miller Distributing</x:v>
      </x:c>
      <x:c r="C121" s="27" t="str"/>
      <x:c r="D121" s="27" t="str">
        <x:v>Direct foodservice distributor</x:v>
      </x:c>
      <x:c r="E121" s="27" t="str">
        <x:v>Convenience, grocery and foodservice wholesale</x:v>
      </x:c>
      <x:c r="F121" s="27" t="str">
        <x:v>Active</x:v>
      </x:c>
      <x:c r="G121" s="27" t="str"/>
      <x:c r="H121" s="27" t="str">
        <x:v>United States</x:v>
      </x:c>
      <x:c r="I121" s="27" t="str">
        <x:v>US</x:v>
      </x:c>
      <x:c r="J121" s="27" t="str">
        <x:v>St. Clair, Pennsylvania</x:v>
      </x:c>
      <x:c r="K121" s="27" t="str">
        <x:v>Regional</x:v>
      </x:c>
      <x:c r="L121" s="27" t="str">
        <x:v>Pennsylvania</x:v>
      </x:c>
      <x:c r="M121" s="27" t="str">
        <x:v>PA</x:v>
      </x:c>
      <x:c r="N121" s="27" t="str">
        <x:v>Central and Eastern Pennsylvania.</x:v>
      </x:c>
      <x:c r="O121" s="27" t="str"/>
      <x:c r="P121" s="27" t="str"/>
      <x:c r="Q121" s="27" t="str"/>
      <x:c r="R121" s="27" t="str"/>
      <x:c r="S121" s="27" t="str">
        <x:v>Ordering portal not publicly verified</x:v>
      </x:c>
      <x:c r="T121" s="27" t="str"/>
      <x:c r="U121" s="27" t="str">
        <x:v>No public template located</x:v>
      </x:c>
      <x:c r="V121" s="27" t="str">
        <x:v>Golbon current/recent member</x:v>
      </x:c>
      <x:c r="W121" s="27" t="str">
        <x:v>https://golbon.com/press/golbon-welcomes-new-member-miller-dist/</x:v>
      </x:c>
      <x:c r="X121" s="27" t="str">
        <x:v>https://golbon.com/press/golbon-welcomes-new-member-miller-dist/</x:v>
      </x:c>
      <x:c r="Y121" s="54" t="n">
        <x:v>46217</x:v>
      </x:c>
      <x:c r="Z121" s="27" t="str">
        <x:v>High</x:v>
      </x:c>
      <x:c r="AA121" s="27" t="str">
        <x:v>Approved seed</x:v>
      </x:c>
      <x:c r="AB121" s="27" t="str">
        <x:v>Yes</x:v>
      </x:c>
      <x:c r="AC121" s="27" t="str"/>
    </x:row>
    <x:row r="122">
      <x:c r="A122" s="27" t="str">
        <x:v>multi_plus_dm_inc</x:v>
      </x:c>
      <x:c r="B122" s="27" t="str">
        <x:v>Multi Plus DM Inc.</x:v>
      </x:c>
      <x:c r="C122" s="27" t="str"/>
      <x:c r="D122" s="27" t="str">
        <x:v>Direct foodservice distributor</x:v>
      </x:c>
      <x:c r="E122" s="27" t="str">
        <x:v>Specialty / wholesale</x:v>
      </x:c>
      <x:c r="F122" s="27" t="str">
        <x:v>Active</x:v>
      </x:c>
      <x:c r="G122" s="27" t="str"/>
      <x:c r="H122" s="27" t="str">
        <x:v>United States</x:v>
      </x:c>
      <x:c r="I122" s="27" t="str">
        <x:v>US</x:v>
      </x:c>
      <x:c r="J122" s="27" t="str"/>
      <x:c r="K122" s="27" t="str">
        <x:v>Regional</x:v>
      </x:c>
      <x:c r="L122" s="27" t="str">
        <x:v>Florida</x:v>
      </x:c>
      <x:c r="M122" s="27" t="str">
        <x:v>FL</x:v>
      </x:c>
      <x:c r="N122" s="27" t="str">
        <x:v>South Florida-centered specialty distribution.</x:v>
      </x:c>
      <x:c r="O122" s="27" t="str">
        <x:v>https://www.multiplusdm.com</x:v>
      </x:c>
      <x:c r="P122" s="27" t="str">
        <x:v>multiplusdm.com</x:v>
      </x:c>
      <x:c r="Q122" s="27"/>
      <x:c r="R122" s="27" t="str"/>
      <x:c r="S122" s="27" t="str">
        <x:v>Ordering portal not publicly verified</x:v>
      </x:c>
      <x:c r="T122" s="27"/>
      <x:c r="U122" s="27" t="str">
        <x:v>No public template located in this pass</x:v>
      </x:c>
      <x:c r="V122" s="27" t="str">
        <x:v>IFDA 2026</x:v>
      </x:c>
      <x:c r="W122" s="27" t="str">
        <x:v>https://ifdaonline.org/distributor-members/</x:v>
      </x:c>
      <x:c r="X122" s="27" t="str">
        <x:v>https://www.multiplusdm.com</x:v>
      </x:c>
      <x:c r="Y122" s="54" t="n">
        <x:v>46217</x:v>
      </x:c>
      <x:c r="Z122" s="27" t="str">
        <x:v>Low</x:v>
      </x:c>
      <x:c r="AA122" s="27" t="str">
        <x:v>Review before seed</x:v>
      </x:c>
      <x:c r="AB122" s="27" t="str">
        <x:v>No</x:v>
      </x:c>
      <x:c r="AC122" s="27" t="str">
        <x:v>Direct website verified from directory/source; customer ordering route requires additional account-level or site-specific verification.</x:v>
      </x:c>
    </x:row>
    <x:row r="123">
      <x:c r="A123" s="27" t="str">
        <x:v>national_dcp</x:v>
      </x:c>
      <x:c r="B123" s="27" t="str">
        <x:v>National DCP</x:v>
      </x:c>
      <x:c r="C123" s="27" t="str"/>
      <x:c r="D123" s="27" t="str">
        <x:v>Closed or contract supply system</x:v>
      </x:c>
      <x:c r="E123" s="27" t="str">
        <x:v>Closed-system / chain supply</x:v>
      </x:c>
      <x:c r="F123" s="27" t="str">
        <x:v>Active</x:v>
      </x:c>
      <x:c r="G123" s="27" t="str"/>
      <x:c r="H123" s="27" t="str">
        <x:v>United States</x:v>
      </x:c>
      <x:c r="I123" s="27" t="str">
        <x:v>US</x:v>
      </x:c>
      <x:c r="J123" s="27" t="str"/>
      <x:c r="K123" s="27" t="str">
        <x:v>Closed system</x:v>
      </x:c>
      <x:c r="L123" s="27"/>
      <x:c r="M123" s="27"/>
      <x:c r="N123" s="27" t="str">
        <x:v>Member-owned supply cooperative serving Dunkin' franchisees.</x:v>
      </x:c>
      <x:c r="O123" s="27" t="str">
        <x:v>https://nationaldcp.com</x:v>
      </x:c>
      <x:c r="P123" s="27" t="str">
        <x:v>nationaldcp.com</x:v>
      </x:c>
      <x:c r="Q123" s="27"/>
      <x:c r="R123" s="27" t="str"/>
      <x:c r="S123" s="27" t="str">
        <x:v>Closed or franchise/system-specific ordering</x:v>
      </x:c>
      <x:c r="T123" s="27"/>
      <x:c r="U123" s="27" t="str">
        <x:v>No public template located in this pass</x:v>
      </x:c>
      <x:c r="V123" s="27" t="str">
        <x:v>IFDA 2026</x:v>
      </x:c>
      <x:c r="W123" s="27" t="str">
        <x:v>https://ifdaonline.org/distributor-members/</x:v>
      </x:c>
      <x:c r="X123" s="27" t="str">
        <x:v>https://nationaldcp.com</x:v>
      </x:c>
      <x:c r="Y123" s="54" t="n">
        <x:v>46217</x:v>
      </x:c>
      <x:c r="Z123" s="27" t="str">
        <x:v>High</x:v>
      </x:c>
      <x:c r="AA123" s="27" t="str">
        <x:v>Reference only</x:v>
      </x:c>
      <x:c r="AB123" s="27" t="str">
        <x:v>No</x:v>
      </x:c>
      <x:c r="AC123" s="27" t="str">
        <x:v>Direct website verified from directory/source; customer ordering route requires additional account-level or site-specific verification.</x:v>
      </x:c>
    </x:row>
    <x:row r="124">
      <x:c r="A124" s="27" t="str">
        <x:v>navis_food_partners</x:v>
      </x:c>
      <x:c r="B124" s="27" t="str">
        <x:v>Navis Food Partners</x:v>
      </x:c>
      <x:c r="C124" s="27" t="str"/>
      <x:c r="D124" s="27" t="str">
        <x:v>Distributor network / cooperative</x:v>
      </x:c>
      <x:c r="E124" s="27" t="str">
        <x:v>Distributor network</x:v>
      </x:c>
      <x:c r="F124" s="27" t="str">
        <x:v>Active</x:v>
      </x:c>
      <x:c r="G124" s="27" t="str"/>
      <x:c r="H124" s="27" t="str">
        <x:v>United States</x:v>
      </x:c>
      <x:c r="I124" s="27" t="str">
        <x:v>US</x:v>
      </x:c>
      <x:c r="J124" s="27" t="str"/>
      <x:c r="K124" s="27" t="str">
        <x:v>Distributor network</x:v>
      </x:c>
      <x:c r="L124" s="27"/>
      <x:c r="M124" s="27"/>
      <x:c r="N124" s="27" t="str">
        <x:v>Distributor network; customer geography should be resolved through the appropriate member.</x:v>
      </x:c>
      <x:c r="O124" s="27" t="str">
        <x:v>https://navisfood.com</x:v>
      </x:c>
      <x:c r="P124" s="27" t="str">
        <x:v>navisfood.com</x:v>
      </x:c>
      <x:c r="Q124" s="27"/>
      <x:c r="R124" s="27" t="str"/>
      <x:c r="S124" s="27" t="str">
        <x:v>Network/cooperative — not an operator ordering portal</x:v>
      </x:c>
      <x:c r="T124" s="27"/>
      <x:c r="U124" s="27" t="str">
        <x:v>No public template located in this pass</x:v>
      </x:c>
      <x:c r="V124" s="27" t="str">
        <x:v>IFDA 2026</x:v>
      </x:c>
      <x:c r="W124" s="27" t="str">
        <x:v>https://ifdaonline.org/distributor-members/</x:v>
      </x:c>
      <x:c r="X124" s="27" t="str">
        <x:v>https://navisfood.com</x:v>
      </x:c>
      <x:c r="Y124" s="54" t="n">
        <x:v>46217</x:v>
      </x:c>
      <x:c r="Z124" s="27" t="str">
        <x:v>High</x:v>
      </x:c>
      <x:c r="AA124" s="27" t="str">
        <x:v>Reference only</x:v>
      </x:c>
      <x:c r="AB124" s="27" t="str">
        <x:v>No</x:v>
      </x:c>
      <x:c r="AC124" s="27" t="str">
        <x:v>Direct website verified from directory/source; customer ordering route requires additional account-level or site-specific verification.</x:v>
      </x:c>
    </x:row>
    <x:row r="125">
      <x:c r="A125" s="27" t="str">
        <x:v>nicholas_and_company_inc</x:v>
      </x:c>
      <x:c r="B125" s="27" t="str">
        <x:v>Nicholas and Company, Inc.</x:v>
      </x:c>
      <x:c r="C125" s="27" t="str"/>
      <x:c r="D125" s="27" t="str">
        <x:v>Direct foodservice distributor</x:v>
      </x:c>
      <x:c r="E125" s="27" t="str">
        <x:v>Broadline</x:v>
      </x:c>
      <x:c r="F125" s="27" t="str">
        <x:v>Active</x:v>
      </x:c>
      <x:c r="G125" s="27" t="str"/>
      <x:c r="H125" s="27" t="str">
        <x:v>United States</x:v>
      </x:c>
      <x:c r="I125" s="27" t="str">
        <x:v>US</x:v>
      </x:c>
      <x:c r="J125" s="27" t="str"/>
      <x:c r="K125" s="27" t="str">
        <x:v>Multi-regional</x:v>
      </x:c>
      <x:c r="L125" s="27" t="str">
        <x:v>Utah, Nevada, Idaho, Wyoming, Montana, Arizona</x:v>
      </x:c>
      <x:c r="M125" s="27" t="str">
        <x:v>UT,NV,ID,WY,MT,AZ</x:v>
      </x:c>
      <x:c r="N125" s="27" t="str">
        <x:v>Utah, Nevada and defined portions of Idaho, Wyoming, Montana and Arizona.</x:v>
      </x:c>
      <x:c r="O125" s="27" t="str">
        <x:v>https://www.nicholasandco.com</x:v>
      </x:c>
      <x:c r="P125" s="27" t="str">
        <x:v>nicholasandco.com</x:v>
      </x:c>
      <x:c r="Q125" s="27"/>
      <x:c r="R125" s="27" t="str"/>
      <x:c r="S125" s="27" t="str">
        <x:v>Ordering portal not publicly verified</x:v>
      </x:c>
      <x:c r="T125" s="27"/>
      <x:c r="U125" s="27" t="str">
        <x:v>No public template located in this pass</x:v>
      </x:c>
      <x:c r="V125" s="27" t="str">
        <x:v>IFDA 2026</x:v>
      </x:c>
      <x:c r="W125" s="27" t="str">
        <x:v>https://ifdaonline.org/distributor-members/</x:v>
      </x:c>
      <x:c r="X125" s="27" t="str">
        <x:v>https://www.nicholasandco.com</x:v>
      </x:c>
      <x:c r="Y125" s="54" t="n">
        <x:v>46217</x:v>
      </x:c>
      <x:c r="Z125" s="27" t="str">
        <x:v>High</x:v>
      </x:c>
      <x:c r="AA125" s="27" t="str">
        <x:v>Approved seed</x:v>
      </x:c>
      <x:c r="AB125" s="27" t="str">
        <x:v>No</x:v>
      </x:c>
      <x:c r="AC125" s="27" t="str">
        <x:v>Direct website verified from directory/source; customer ordering route requires additional account-level or site-specific verification.</x:v>
      </x:c>
    </x:row>
    <x:row r="126">
      <x:c r="A126" s="27" t="str">
        <x:v>north_bay_wholesale</x:v>
      </x:c>
      <x:c r="B126" s="27" t="str">
        <x:v>North Bay Wholesale</x:v>
      </x:c>
      <x:c r="C126" s="27" t="str">
        <x:v>North Bay Wholefoods</x:v>
      </x:c>
      <x:c r="D126" s="27" t="str">
        <x:v>Direct foodservice distributor</x:v>
      </x:c>
      <x:c r="E126" s="27" t="str">
        <x:v>Broadline / pizza and Mexican restaurant supply</x:v>
      </x:c>
      <x:c r="F126" s="27" t="str">
        <x:v>Active</x:v>
      </x:c>
      <x:c r="G126" s="27" t="str"/>
      <x:c r="H126" s="27" t="str">
        <x:v>United States</x:v>
      </x:c>
      <x:c r="I126" s="27" t="str">
        <x:v>US</x:v>
      </x:c>
      <x:c r="J126" s="27" t="str">
        <x:v>Humboldt County, California</x:v>
      </x:c>
      <x:c r="K126" s="27" t="str">
        <x:v>Local / regional</x:v>
      </x:c>
      <x:c r="L126" s="27" t="str">
        <x:v>California</x:v>
      </x:c>
      <x:c r="M126" s="27" t="str">
        <x:v>CA</x:v>
      </x:c>
      <x:c r="N126" s="27" t="str">
        <x:v>Humboldt County, California.</x:v>
      </x:c>
      <x:c r="O126" s="27" t="str">
        <x:v>https://www.northbaywholesale.com/</x:v>
      </x:c>
      <x:c r="P126" s="27" t="str">
        <x:v>northbaywholesale.com</x:v>
      </x:c>
      <x:c r="Q126" s="27" t="str">
        <x:v>https://www.northbaywholesale.com/shop</x:v>
      </x:c>
      <x:c r="R126" s="27" t="str">
        <x:v>public_ecommerce</x:v>
      </x:c>
      <x:c r="S126" s="27" t="str">
        <x:v>Public e-commerce / customer account storefront</x:v>
      </x:c>
      <x:c r="T126" s="27" t="str"/>
      <x:c r="U126" s="27" t="str">
        <x:v>No public template located</x:v>
      </x:c>
      <x:c r="V126" s="27" t="str">
        <x:v>Golbon current/recent member</x:v>
      </x:c>
      <x:c r="W126" s="27" t="str">
        <x:v>https://golbon.com/press/golbon-welcomes-new-member-north-bay-wholesale/</x:v>
      </x:c>
      <x:c r="X126" s="27" t="str">
        <x:v>https://www.northbaywholesale.com/</x:v>
      </x:c>
      <x:c r="Y126" s="54" t="n">
        <x:v>46217</x:v>
      </x:c>
      <x:c r="Z126" s="27" t="str">
        <x:v>High</x:v>
      </x:c>
      <x:c r="AA126" s="27" t="str">
        <x:v>Approved seed</x:v>
      </x:c>
      <x:c r="AB126" s="27" t="str">
        <x:v>Yes</x:v>
      </x:c>
      <x:c r="AC126" s="27" t="str"/>
    </x:row>
    <x:row r="127">
      <x:c r="A127" s="27" t="str">
        <x:v>northern_haserot_food_service</x:v>
      </x:c>
      <x:c r="B127" s="27" t="str">
        <x:v>Northern Haserot Food Service</x:v>
      </x:c>
      <x:c r="C127" s="27" t="str"/>
      <x:c r="D127" s="27" t="str">
        <x:v>Direct foodservice distributor</x:v>
      </x:c>
      <x:c r="E127" s="27" t="str">
        <x:v>Broadline</x:v>
      </x:c>
      <x:c r="F127" s="27" t="str">
        <x:v>Active</x:v>
      </x:c>
      <x:c r="G127" s="27" t="str"/>
      <x:c r="H127" s="27" t="str">
        <x:v>United States</x:v>
      </x:c>
      <x:c r="I127" s="27" t="str">
        <x:v>US</x:v>
      </x:c>
      <x:c r="J127" s="27" t="str"/>
      <x:c r="K127" s="27" t="str">
        <x:v>Regional</x:v>
      </x:c>
      <x:c r="L127" s="27" t="str">
        <x:v>Ohio, Michigan</x:v>
      </x:c>
      <x:c r="M127" s="27" t="str">
        <x:v>OH,MI</x:v>
      </x:c>
      <x:c r="N127" s="27" t="str">
        <x:v>Cleveland/Ohio and Detroit/Michigan-centered distribution, including other nearby Midwest routes.</x:v>
      </x:c>
      <x:c r="O127" s="27" t="str">
        <x:v>https://www.northernhaserot.com</x:v>
      </x:c>
      <x:c r="P127" s="27" t="str">
        <x:v>northernhaserot.com</x:v>
      </x:c>
      <x:c r="Q127" s="27"/>
      <x:c r="R127" s="27" t="str"/>
      <x:c r="S127" s="27" t="str">
        <x:v>Ordering portal not publicly verified</x:v>
      </x:c>
      <x:c r="T127" s="27"/>
      <x:c r="U127" s="27" t="str">
        <x:v>No public template located in this pass</x:v>
      </x:c>
      <x:c r="V127" s="27" t="str">
        <x:v>IFDA 2026</x:v>
      </x:c>
      <x:c r="W127" s="27" t="str">
        <x:v>https://ifdaonline.org/distributor-members/</x:v>
      </x:c>
      <x:c r="X127" s="27" t="str">
        <x:v>https://www.northernhaserot.com</x:v>
      </x:c>
      <x:c r="Y127" s="54" t="n">
        <x:v>46217</x:v>
      </x:c>
      <x:c r="Z127" s="27" t="str">
        <x:v>Medium</x:v>
      </x:c>
      <x:c r="AA127" s="27" t="str">
        <x:v>Approved seed</x:v>
      </x:c>
      <x:c r="AB127" s="27" t="str">
        <x:v>No</x:v>
      </x:c>
      <x:c r="AC127" s="27" t="str">
        <x:v>Direct website verified from directory/source; customer ordering route requires additional account-level or site-specific verification.</x:v>
      </x:c>
    </x:row>
    <x:row r="128">
      <x:c r="A128" s="27" t="str">
        <x:v>novick_brothers_corp</x:v>
      </x:c>
      <x:c r="B128" s="27" t="str">
        <x:v>Novick Brothers Corp.</x:v>
      </x:c>
      <x:c r="C128" s="27" t="str"/>
      <x:c r="D128" s="27" t="str">
        <x:v>Direct foodservice distributor</x:v>
      </x:c>
      <x:c r="E128" s="27" t="str">
        <x:v>Broadline / institutional</x:v>
      </x:c>
      <x:c r="F128" s="27" t="str">
        <x:v>Active</x:v>
      </x:c>
      <x:c r="G128" s="27" t="str"/>
      <x:c r="H128" s="27" t="str">
        <x:v>United States</x:v>
      </x:c>
      <x:c r="I128" s="27" t="str">
        <x:v>US</x:v>
      </x:c>
      <x:c r="J128" s="27" t="str"/>
      <x:c r="K128" s="27" t="str">
        <x:v>Regional</x:v>
      </x:c>
      <x:c r="L128" s="27" t="str">
        <x:v>New Jersey, New York, Pennsylvania, Connecticut</x:v>
      </x:c>
      <x:c r="M128" s="27" t="str">
        <x:v>NJ,NY,PA,CT</x:v>
      </x:c>
      <x:c r="N128" s="27" t="str">
        <x:v>New Jersey-centered foodservice and institutional distribution.</x:v>
      </x:c>
      <x:c r="O128" s="27" t="str">
        <x:v>https://novickcorp.com</x:v>
      </x:c>
      <x:c r="P128" s="27" t="str">
        <x:v>novickcorp.com</x:v>
      </x:c>
      <x:c r="Q128" s="27"/>
      <x:c r="R128" s="27" t="str"/>
      <x:c r="S128" s="27" t="str">
        <x:v>Ordering portal not publicly verified</x:v>
      </x:c>
      <x:c r="T128" s="27"/>
      <x:c r="U128" s="27" t="str">
        <x:v>No public template located in this pass</x:v>
      </x:c>
      <x:c r="V128" s="27" t="str">
        <x:v>IFDA 2026</x:v>
      </x:c>
      <x:c r="W128" s="27" t="str">
        <x:v>https://ifdaonline.org/distributor-members/</x:v>
      </x:c>
      <x:c r="X128" s="27" t="str">
        <x:v>https://novickcorp.com</x:v>
      </x:c>
      <x:c r="Y128" s="54" t="n">
        <x:v>46217</x:v>
      </x:c>
      <x:c r="Z128" s="27" t="str">
        <x:v>Low</x:v>
      </x:c>
      <x:c r="AA128" s="27" t="str">
        <x:v>Review before seed</x:v>
      </x:c>
      <x:c r="AB128" s="27" t="str">
        <x:v>No</x:v>
      </x:c>
      <x:c r="AC128" s="27" t="str">
        <x:v>Direct website verified from directory/source; customer ordering route requires additional account-level or site-specific verification.</x:v>
      </x:c>
    </x:row>
    <x:row r="129">
      <x:c r="A129" s="27" t="str">
        <x:v>ole_tyme_produce</x:v>
      </x:c>
      <x:c r="B129" s="27" t="str">
        <x:v>Ole Tyme Produce</x:v>
      </x:c>
      <x:c r="C129" s="27" t="str"/>
      <x:c r="D129" s="27" t="str">
        <x:v>Direct foodservice distributor</x:v>
      </x:c>
      <x:c r="E129" s="27" t="str">
        <x:v>Produce</x:v>
      </x:c>
      <x:c r="F129" s="27" t="str">
        <x:v>Active</x:v>
      </x:c>
      <x:c r="G129" s="27" t="str"/>
      <x:c r="H129" s="27" t="str">
        <x:v>United States</x:v>
      </x:c>
      <x:c r="I129" s="27" t="str">
        <x:v>US</x:v>
      </x:c>
      <x:c r="J129" s="27" t="str"/>
      <x:c r="K129" s="27" t="str">
        <x:v>Regional</x:v>
      </x:c>
      <x:c r="L129" s="27" t="str">
        <x:v>Missouri, Illinois, Kansas, Arkansas</x:v>
      </x:c>
      <x:c r="M129" s="27" t="str">
        <x:v>MO,IL,KS,AR</x:v>
      </x:c>
      <x:c r="N129" s="27" t="str">
        <x:v>Missouri-centered produce distribution.</x:v>
      </x:c>
      <x:c r="O129" s="27" t="str">
        <x:v>https://www.oletyme.com</x:v>
      </x:c>
      <x:c r="P129" s="27" t="str">
        <x:v>oletyme.com</x:v>
      </x:c>
      <x:c r="Q129" s="27"/>
      <x:c r="R129" s="27" t="str"/>
      <x:c r="S129" s="27" t="str">
        <x:v>Ordering portal not publicly verified</x:v>
      </x:c>
      <x:c r="T129" s="27"/>
      <x:c r="U129" s="27" t="str">
        <x:v>No public template located in this pass</x:v>
      </x:c>
      <x:c r="V129" s="27" t="str">
        <x:v>IFDA 2026</x:v>
      </x:c>
      <x:c r="W129" s="27" t="str">
        <x:v>https://ifdaonline.org/distributor-members/</x:v>
      </x:c>
      <x:c r="X129" s="27" t="str">
        <x:v>https://www.oletyme.com</x:v>
      </x:c>
      <x:c r="Y129" s="54" t="n">
        <x:v>46217</x:v>
      </x:c>
      <x:c r="Z129" s="27" t="str">
        <x:v>Low</x:v>
      </x:c>
      <x:c r="AA129" s="27" t="str">
        <x:v>Review before seed</x:v>
      </x:c>
      <x:c r="AB129" s="27" t="str">
        <x:v>No</x:v>
      </x:c>
      <x:c r="AC129" s="27" t="str">
        <x:v>Direct website verified from directory/source; customer ordering route requires additional account-level or site-specific verification.</x:v>
      </x:c>
    </x:row>
    <x:row r="130">
      <x:c r="A130" s="27" t="str">
        <x:v>pacific_provisions_hawaii</x:v>
      </x:c>
      <x:c r="B130" s="27" t="str">
        <x:v>Pacific Provisions Hawaii</x:v>
      </x:c>
      <x:c r="C130" s="27" t="str"/>
      <x:c r="D130" s="27" t="str">
        <x:v>Direct foodservice distributor</x:v>
      </x:c>
      <x:c r="E130" s="27" t="str">
        <x:v>Broadline / Hawaii</x:v>
      </x:c>
      <x:c r="F130" s="27" t="str">
        <x:v>Active</x:v>
      </x:c>
      <x:c r="G130" s="27" t="str"/>
      <x:c r="H130" s="27" t="str">
        <x:v>United States</x:v>
      </x:c>
      <x:c r="I130" s="27" t="str">
        <x:v>US</x:v>
      </x:c>
      <x:c r="J130" s="27" t="str"/>
      <x:c r="K130" s="27" t="str">
        <x:v>Territory-wide</x:v>
      </x:c>
      <x:c r="L130" s="27" t="str">
        <x:v>Hawaii</x:v>
      </x:c>
      <x:c r="M130" s="27" t="str">
        <x:v>HI</x:v>
      </x:c>
      <x:c r="N130" s="27" t="str">
        <x:v>Hawaii foodservice distribution.</x:v>
      </x:c>
      <x:c r="O130" s="27" t="str">
        <x:v>https://pacificprovisionshawaii.com</x:v>
      </x:c>
      <x:c r="P130" s="27" t="str">
        <x:v>pacificprovisionshawaii.com</x:v>
      </x:c>
      <x:c r="Q130" s="27"/>
      <x:c r="R130" s="27" t="str"/>
      <x:c r="S130" s="27" t="str">
        <x:v>Ordering portal not publicly verified</x:v>
      </x:c>
      <x:c r="T130" s="27"/>
      <x:c r="U130" s="27" t="str">
        <x:v>No public template located in this pass</x:v>
      </x:c>
      <x:c r="V130" s="27" t="str">
        <x:v>IFDA 2026 | Frosty Acres 2026 member</x:v>
      </x:c>
      <x:c r="W130" s="27" t="str">
        <x:v>https://ifdaonline.org/distributor-members/</x:v>
      </x:c>
      <x:c r="X130" s="27" t="str">
        <x:v>https://pacificprovisionshawaii.com</x:v>
      </x:c>
      <x:c r="Y130" s="54" t="n">
        <x:v>46217</x:v>
      </x:c>
      <x:c r="Z130" s="27" t="str">
        <x:v>High</x:v>
      </x:c>
      <x:c r="AA130" s="27" t="str">
        <x:v>Approved seed</x:v>
      </x:c>
      <x:c r="AB130" s="27" t="str">
        <x:v>No</x:v>
      </x:c>
      <x:c r="AC130" s="27" t="str">
        <x:v>Direct website verified from directory/source; customer ordering route requires additional account-level or site-specific verification.</x:v>
      </x:c>
    </x:row>
    <x:row r="131">
      <x:c r="A131" s="27" t="str">
        <x:v>palmer_food_services</x:v>
      </x:c>
      <x:c r="B131" s="27" t="str">
        <x:v>Palmer Food Services</x:v>
      </x:c>
      <x:c r="C131" s="27" t="str"/>
      <x:c r="D131" s="27" t="str">
        <x:v>Direct foodservice distributor</x:v>
      </x:c>
      <x:c r="E131" s="27" t="str">
        <x:v>Broadline / center-of-plate</x:v>
      </x:c>
      <x:c r="F131" s="27" t="str">
        <x:v>Active</x:v>
      </x:c>
      <x:c r="G131" s="27" t="str"/>
      <x:c r="H131" s="27" t="str">
        <x:v>United States</x:v>
      </x:c>
      <x:c r="I131" s="27" t="str">
        <x:v>US</x:v>
      </x:c>
      <x:c r="J131" s="27" t="str"/>
      <x:c r="K131" s="27" t="str">
        <x:v>Regional</x:v>
      </x:c>
      <x:c r="L131" s="27" t="str">
        <x:v>New York</x:v>
      </x:c>
      <x:c r="M131" s="27" t="str">
        <x:v>NY</x:v>
      </x:c>
      <x:c r="N131" s="27" t="str">
        <x:v>Rochester and Buffalo-centered service across New York markets.</x:v>
      </x:c>
      <x:c r="O131" s="27" t="str">
        <x:v>https://palmerfoods.com</x:v>
      </x:c>
      <x:c r="P131" s="27" t="str">
        <x:v>palmerfoods.com</x:v>
      </x:c>
      <x:c r="Q131" s="27" t="str">
        <x:v>https://palmerfoods.com/order-online/</x:v>
      </x:c>
      <x:c r="R131" s="27" t="str"/>
      <x:c r="S131" s="27" t="str">
        <x:v>Verified ordering landing page</x:v>
      </x:c>
      <x:c r="T131" s="27"/>
      <x:c r="U131" s="27" t="str">
        <x:v>No public template found</x:v>
      </x:c>
      <x:c r="V131" s="27" t="str">
        <x:v>IFDA 2026</x:v>
      </x:c>
      <x:c r="W131" s="27" t="str">
        <x:v>https://palmerfoods.com/order-online/</x:v>
      </x:c>
      <x:c r="X131" s="27" t="str">
        <x:v>https://palmerfoods.com</x:v>
      </x:c>
      <x:c r="Y131" s="54" t="n">
        <x:v>46217</x:v>
      </x:c>
      <x:c r="Z131" s="27" t="str">
        <x:v>High</x:v>
      </x:c>
      <x:c r="AA131" s="27" t="str">
        <x:v>Approved seed</x:v>
      </x:c>
      <x:c r="AB131" s="27" t="str">
        <x:v>No</x:v>
      </x:c>
      <x:c r="AC131" s="27" t="str">
        <x:v>Web and mobile ordering; direct application URL is exposed after account setup.</x:v>
      </x:c>
    </x:row>
    <x:row r="132">
      <x:c r="A132" s="27" t="str">
        <x:v>performance_food_group</x:v>
      </x:c>
      <x:c r="B132" s="27" t="str">
        <x:v>Performance Food Group</x:v>
      </x:c>
      <x:c r="C132" s="27" t="str">
        <x:v>PFG | Performance Foodservice</x:v>
      </x:c>
      <x:c r="D132" s="27" t="str">
        <x:v>Direct foodservice distributor</x:v>
      </x:c>
      <x:c r="E132" s="27" t="str">
        <x:v>National broadline</x:v>
      </x:c>
      <x:c r="F132" s="27" t="str">
        <x:v>Active</x:v>
      </x:c>
      <x:c r="G132" s="27" t="str"/>
      <x:c r="H132" s="27" t="str">
        <x:v>United States</x:v>
      </x:c>
      <x:c r="I132" s="27" t="str">
        <x:v>US</x:v>
      </x:c>
      <x:c r="J132" s="27" t="str"/>
      <x:c r="K132" s="27" t="str">
        <x:v>National</x:v>
      </x:c>
      <x:c r="L132" s="27"/>
      <x:c r="M132" s="27"/>
      <x:c r="N132" s="27" t="str">
        <x:v>National distribution network through Performance Foodservice, Core-Mark and Vistar.</x:v>
      </x:c>
      <x:c r="O132" s="27" t="str">
        <x:v>https://www.pfgc.com</x:v>
      </x:c>
      <x:c r="P132" s="27" t="str">
        <x:v>pfgc.com</x:v>
      </x:c>
      <x:c r="Q132" s="27" t="str">
        <x:v>https://www.performancefoodservice.com/Your-Operation/CustomerFirst</x:v>
      </x:c>
      <x:c r="R132" s="27" t="str">
        <x:v>pfg_customerfirst</x:v>
      </x:c>
      <x:c r="S132" s="27" t="str">
        <x:v>Verified ordering platform landing page (CustomerFirst)</x:v>
      </x:c>
      <x:c r="T132" s="27" t="str">
        <x:v>https://www.rrgconsulting.com/export-your-performance-net-order-guide.html</x:v>
      </x:c>
      <x:c r="U132" s="27" t="str">
        <x:v>CSV order-guide export instructions (third party)</x:v>
      </x:c>
      <x:c r="V132" s="27" t="str">
        <x:v>IFDA 2026</x:v>
      </x:c>
      <x:c r="W132" s="27" t="str">
        <x:v>https://www.performancefoodservice.com/Your-Operation/CustomerFirst</x:v>
      </x:c>
      <x:c r="X132" s="27" t="str">
        <x:v>https://www.pfgc.com/Our-Locations</x:v>
      </x:c>
      <x:c r="Y132" s="54" t="n">
        <x:v>46217</x:v>
      </x:c>
      <x:c r="Z132" s="27" t="str">
        <x:v>High</x:v>
      </x:c>
      <x:c r="AA132" s="27" t="str">
        <x:v>Approved seed</x:v>
      </x:c>
      <x:c r="AB132" s="27" t="str">
        <x:v>No</x:v>
      </x:c>
      <x:c r="AC132" s="27" t="str">
        <x:v>CustomerFirst includes custom lists/order guides; direct login is account-gated.</x:v>
      </x:c>
    </x:row>
    <x:row r="133">
      <x:c r="A133" s="27" t="str">
        <x:v>phillips_food_service_llc</x:v>
      </x:c>
      <x:c r="B133" s="27" t="str">
        <x:v>Phillips Food Service, LLC</x:v>
      </x:c>
      <x:c r="C133" s="27" t="str"/>
      <x:c r="D133" s="27" t="str">
        <x:v>Direct foodservice distributor</x:v>
      </x:c>
      <x:c r="E133" s="27" t="str">
        <x:v>Broadline</x:v>
      </x:c>
      <x:c r="F133" s="27" t="str">
        <x:v>Active</x:v>
      </x:c>
      <x:c r="G133" s="27" t="str"/>
      <x:c r="H133" s="27" t="str">
        <x:v>United States</x:v>
      </x:c>
      <x:c r="I133" s="27" t="str">
        <x:v>US</x:v>
      </x:c>
      <x:c r="J133" s="27" t="str"/>
      <x:c r="K133" s="27" t="str">
        <x:v>Regional</x:v>
      </x:c>
      <x:c r="L133" s="27" t="str">
        <x:v>Texas</x:v>
      </x:c>
      <x:c r="M133" s="27" t="str">
        <x:v>TX</x:v>
      </x:c>
      <x:c r="N133" s="27" t="str">
        <x:v>Texas-centered foodservice distribution.</x:v>
      </x:c>
      <x:c r="O133" s="27" t="str">
        <x:v>https://phillipsfoodservice.net</x:v>
      </x:c>
      <x:c r="P133" s="27" t="str">
        <x:v>phillipsfoodservice.net</x:v>
      </x:c>
      <x:c r="Q133" s="27"/>
      <x:c r="R133" s="27" t="str"/>
      <x:c r="S133" s="27" t="str">
        <x:v>Ordering portal not publicly verified</x:v>
      </x:c>
      <x:c r="T133" s="27"/>
      <x:c r="U133" s="27" t="str">
        <x:v>No public template located in this pass</x:v>
      </x:c>
      <x:c r="V133" s="27" t="str">
        <x:v>IFDA 2026</x:v>
      </x:c>
      <x:c r="W133" s="27" t="str">
        <x:v>https://ifdaonline.org/distributor-members/</x:v>
      </x:c>
      <x:c r="X133" s="27" t="str">
        <x:v>https://phillipsfoodservice.net</x:v>
      </x:c>
      <x:c r="Y133" s="54" t="n">
        <x:v>46217</x:v>
      </x:c>
      <x:c r="Z133" s="27" t="str">
        <x:v>Low</x:v>
      </x:c>
      <x:c r="AA133" s="27" t="str">
        <x:v>Review before seed</x:v>
      </x:c>
      <x:c r="AB133" s="27" t="str">
        <x:v>No</x:v>
      </x:c>
      <x:c r="AC133" s="27" t="str">
        <x:v>Direct website verified from directory/source; customer ordering route requires additional account-level or site-specific verification.</x:v>
      </x:c>
    </x:row>
    <x:row r="134">
      <x:c r="A134" s="27" t="str">
        <x:v>plymouth_inc</x:v>
      </x:c>
      <x:c r="B134" s="27" t="str">
        <x:v>Plymouth, Inc.</x:v>
      </x:c>
      <x:c r="C134" s="27" t="str"/>
      <x:c r="D134" s="27" t="str">
        <x:v>Direct foodservice distributor</x:v>
      </x:c>
      <x:c r="E134" s="27" t="str">
        <x:v>Meat, poultry, seafood and refrigerated freight</x:v>
      </x:c>
      <x:c r="F134" s="27" t="str">
        <x:v>Active</x:v>
      </x:c>
      <x:c r="G134" s="27" t="str"/>
      <x:c r="H134" s="27" t="str">
        <x:v>United States</x:v>
      </x:c>
      <x:c r="I134" s="27" t="str">
        <x:v>US</x:v>
      </x:c>
      <x:c r="J134" s="27" t="str">
        <x:v>Auburn, Washington</x:v>
      </x:c>
      <x:c r="K134" s="27" t="str">
        <x:v>Multi-state regional</x:v>
      </x:c>
      <x:c r="L134" s="27" t="str">
        <x:v>Washington and five additional western states</x:v>
      </x:c>
      <x:c r="M134" s="27" t="str">
        <x:v>WA</x:v>
      </x:c>
      <x:c r="N134" s="27" t="str">
        <x:v>Six-state western footprint; only Washington is auto-coded until the other states are verified.</x:v>
      </x:c>
      <x:c r="O134" s="27" t="str"/>
      <x:c r="P134" s="27" t="str"/>
      <x:c r="Q134" s="27" t="str"/>
      <x:c r="R134" s="27" t="str"/>
      <x:c r="S134" s="27" t="str">
        <x:v>Ordering portal not publicly verified</x:v>
      </x:c>
      <x:c r="T134" s="27" t="str"/>
      <x:c r="U134" s="27" t="str">
        <x:v>No public template located</x:v>
      </x:c>
      <x:c r="V134" s="27" t="str">
        <x:v>Golbon current/recent member</x:v>
      </x:c>
      <x:c r="W134" s="27" t="str">
        <x:v>https://golbon.com/press/golbon-welcomes-new-member-plymouth-inc/</x:v>
      </x:c>
      <x:c r="X134" s="27" t="str">
        <x:v>https://golbon.com/press/golbon-welcomes-new-member-plymouth-inc/</x:v>
      </x:c>
      <x:c r="Y134" s="54" t="n">
        <x:v>46217</x:v>
      </x:c>
      <x:c r="Z134" s="27" t="str">
        <x:v>Medium</x:v>
      </x:c>
      <x:c r="AA134" s="27" t="str">
        <x:v>Review before seed</x:v>
      </x:c>
      <x:c r="AB134" s="27" t="str">
        <x:v>Yes</x:v>
      </x:c>
      <x:c r="AC134" s="27" t="str"/>
    </x:row>
    <x:row r="135">
      <x:c r="A135" s="27" t="str">
        <x:v>pratts_foodservice</x:v>
      </x:c>
      <x:c r="B135" s="27" t="str">
        <x:v>Pratts Foodservice</x:v>
      </x:c>
      <x:c r="C135" s="27" t="str"/>
      <x:c r="D135" s="27" t="str">
        <x:v>Direct foodservice distributor</x:v>
      </x:c>
      <x:c r="E135" s="27" t="str">
        <x:v>Broadline</x:v>
      </x:c>
      <x:c r="F135" s="27" t="str">
        <x:v>Active</x:v>
      </x:c>
      <x:c r="G135" s="27" t="str"/>
      <x:c r="H135" s="27" t="str">
        <x:v>United States</x:v>
      </x:c>
      <x:c r="I135" s="27" t="str">
        <x:v>US</x:v>
      </x:c>
      <x:c r="J135" s="27" t="str"/>
      <x:c r="K135" s="27" t="str">
        <x:v>Regional</x:v>
      </x:c>
      <x:c r="L135" s="27" t="str">
        <x:v>Minnesota, North Dakota, South Dakota, Wisconsin, Iowa</x:v>
      </x:c>
      <x:c r="M135" s="27" t="str">
        <x:v>MN,ND,SD,WI,IA</x:v>
      </x:c>
      <x:c r="N135" s="27" t="str">
        <x:v>Northern Plains and Upper Midwest distribution.</x:v>
      </x:c>
      <x:c r="O135" s="27" t="str">
        <x:v>https://ww1.pratts.com</x:v>
      </x:c>
      <x:c r="P135" s="27" t="str">
        <x:v>ww1.pratts.com</x:v>
      </x:c>
      <x:c r="Q135" s="27"/>
      <x:c r="R135" s="27" t="str"/>
      <x:c r="S135" s="27" t="str">
        <x:v>Ordering portal not publicly verified</x:v>
      </x:c>
      <x:c r="T135" s="27"/>
      <x:c r="U135" s="27" t="str">
        <x:v>No public template located in this pass</x:v>
      </x:c>
      <x:c r="V135" s="27" t="str">
        <x:v>IFDA 2026</x:v>
      </x:c>
      <x:c r="W135" s="27" t="str">
        <x:v>https://ifdaonline.org/distributor-members/</x:v>
      </x:c>
      <x:c r="X135" s="27" t="str">
        <x:v>https://ww1.pratts.com</x:v>
      </x:c>
      <x:c r="Y135" s="54" t="n">
        <x:v>46217</x:v>
      </x:c>
      <x:c r="Z135" s="27" t="str">
        <x:v>Low</x:v>
      </x:c>
      <x:c r="AA135" s="27" t="str">
        <x:v>Review before seed</x:v>
      </x:c>
      <x:c r="AB135" s="27" t="str">
        <x:v>No</x:v>
      </x:c>
      <x:c r="AC135" s="27" t="str">
        <x:v>Direct website verified from directory/source; customer ordering route requires additional account-level or site-specific verification.</x:v>
      </x:c>
    </x:row>
    <x:row r="136">
      <x:c r="A136" s="27" t="str">
        <x:v>prime_source_foods</x:v>
      </x:c>
      <x:c r="B136" s="27" t="str">
        <x:v>Prime Source Foods</x:v>
      </x:c>
      <x:c r="C136" s="27" t="str"/>
      <x:c r="D136" s="27" t="str">
        <x:v>Direct foodservice distributor</x:v>
      </x:c>
      <x:c r="E136" s="27" t="str">
        <x:v>Center-of-plate / specialty</x:v>
      </x:c>
      <x:c r="F136" s="27" t="str">
        <x:v>Active</x:v>
      </x:c>
      <x:c r="G136" s="27" t="str"/>
      <x:c r="H136" s="27" t="str">
        <x:v>United States</x:v>
      </x:c>
      <x:c r="I136" s="27" t="str">
        <x:v>US</x:v>
      </x:c>
      <x:c r="J136" s="27" t="str"/>
      <x:c r="K136" s="27" t="str">
        <x:v>Regional</x:v>
      </x:c>
      <x:c r="L136" s="27" t="str">
        <x:v>New Hampshire, Maine, Massachusetts, Vermont, Connecticut, Rhode Island</x:v>
      </x:c>
      <x:c r="M136" s="27" t="str">
        <x:v>NH,ME,MA,VT,CT,RI</x:v>
      </x:c>
      <x:c r="N136" s="27" t="str">
        <x:v>New England center-of-plate and specialty distribution.</x:v>
      </x:c>
      <x:c r="O136" s="27" t="str">
        <x:v>https://www.primesourcefoods.biz</x:v>
      </x:c>
      <x:c r="P136" s="27" t="str">
        <x:v>primesourcefoods.biz</x:v>
      </x:c>
      <x:c r="Q136" s="27"/>
      <x:c r="R136" s="27" t="str"/>
      <x:c r="S136" s="27" t="str">
        <x:v>Ordering portal not publicly verified</x:v>
      </x:c>
      <x:c r="T136" s="27"/>
      <x:c r="U136" s="27" t="str">
        <x:v>No public template located in this pass</x:v>
      </x:c>
      <x:c r="V136" s="27" t="str">
        <x:v>IFDA 2026</x:v>
      </x:c>
      <x:c r="W136" s="27" t="str">
        <x:v>https://ifdaonline.org/distributor-members/</x:v>
      </x:c>
      <x:c r="X136" s="27" t="str">
        <x:v>https://www.primesourcefoods.biz</x:v>
      </x:c>
      <x:c r="Y136" s="54" t="n">
        <x:v>46217</x:v>
      </x:c>
      <x:c r="Z136" s="27" t="str">
        <x:v>Medium</x:v>
      </x:c>
      <x:c r="AA136" s="27" t="str">
        <x:v>Approved seed</x:v>
      </x:c>
      <x:c r="AB136" s="27" t="str">
        <x:v>No</x:v>
      </x:c>
      <x:c r="AC136" s="27" t="str">
        <x:v>Direct website verified from directory/source; customer ordering route requires additional account-level or site-specific verification.</x:v>
      </x:c>
    </x:row>
    <x:row r="137">
      <x:c r="A137" s="27" t="str">
        <x:v>quaker_valley_foods_inc</x:v>
      </x:c>
      <x:c r="B137" s="27" t="str">
        <x:v>Quaker Valley Foods, Inc.</x:v>
      </x:c>
      <x:c r="C137" s="27" t="str"/>
      <x:c r="D137" s="27" t="str">
        <x:v>Direct foodservice distributor</x:v>
      </x:c>
      <x:c r="E137" s="27" t="str">
        <x:v>Meat / specialty broadline</x:v>
      </x:c>
      <x:c r="F137" s="27" t="str">
        <x:v>Active</x:v>
      </x:c>
      <x:c r="G137" s="27" t="str"/>
      <x:c r="H137" s="27" t="str">
        <x:v>United States</x:v>
      </x:c>
      <x:c r="I137" s="27" t="str">
        <x:v>US</x:v>
      </x:c>
      <x:c r="J137" s="27" t="str"/>
      <x:c r="K137" s="27" t="str">
        <x:v>Multi-regional</x:v>
      </x:c>
      <x:c r="L137" s="27" t="str">
        <x:v>Pennsylvania, New Jersey, New York, Delaware, Maryland, District of Columbia, Virginia</x:v>
      </x:c>
      <x:c r="M137" s="27" t="str">
        <x:v>PA,NJ,NY,DE,MD,DC,VA</x:v>
      </x:c>
      <x:c r="N137" s="27" t="str">
        <x:v>Pennsylvania-centered meat and specialty distribution throughout nearby Northeast and Mid-Atlantic markets.</x:v>
      </x:c>
      <x:c r="O137" s="27" t="str">
        <x:v>https://www.quakervalleyfoods.com</x:v>
      </x:c>
      <x:c r="P137" s="27" t="str">
        <x:v>quakervalleyfoods.com</x:v>
      </x:c>
      <x:c r="Q137" s="27"/>
      <x:c r="R137" s="27" t="str"/>
      <x:c r="S137" s="27" t="str">
        <x:v>Ordering portal not publicly verified</x:v>
      </x:c>
      <x:c r="T137" s="27"/>
      <x:c r="U137" s="27" t="str">
        <x:v>No public template located in this pass</x:v>
      </x:c>
      <x:c r="V137" s="27" t="str">
        <x:v>IFDA 2026</x:v>
      </x:c>
      <x:c r="W137" s="27" t="str">
        <x:v>https://ifdaonline.org/distributor-members/</x:v>
      </x:c>
      <x:c r="X137" s="27" t="str">
        <x:v>https://www.quakervalleyfoods.com</x:v>
      </x:c>
      <x:c r="Y137" s="54" t="n">
        <x:v>46217</x:v>
      </x:c>
      <x:c r="Z137" s="27" t="str">
        <x:v>Medium</x:v>
      </x:c>
      <x:c r="AA137" s="27" t="str">
        <x:v>Approved seed</x:v>
      </x:c>
      <x:c r="AB137" s="27" t="str">
        <x:v>No</x:v>
      </x:c>
      <x:c r="AC137" s="27" t="str">
        <x:v>Direct website verified from directory/source; customer ordering route requires additional account-level or site-specific verification.</x:v>
      </x:c>
    </x:row>
    <x:row r="138">
      <x:c r="A138" s="27" t="str">
        <x:v>quality_custom_distribution_services</x:v>
      </x:c>
      <x:c r="B138" s="27" t="str">
        <x:v>Quality Custom Distribution Services</x:v>
      </x:c>
      <x:c r="C138" s="27" t="str"/>
      <x:c r="D138" s="27" t="str">
        <x:v>Closed or contract supply system</x:v>
      </x:c>
      <x:c r="E138" s="27" t="str">
        <x:v>Closed-system / chain supply</x:v>
      </x:c>
      <x:c r="F138" s="27" t="str">
        <x:v>Active</x:v>
      </x:c>
      <x:c r="G138" s="27" t="str"/>
      <x:c r="H138" s="27" t="str">
        <x:v>United States</x:v>
      </x:c>
      <x:c r="I138" s="27" t="str">
        <x:v>US</x:v>
      </x:c>
      <x:c r="J138" s="27" t="str"/>
      <x:c r="K138" s="27" t="str">
        <x:v>Closed system</x:v>
      </x:c>
      <x:c r="L138" s="27"/>
      <x:c r="M138" s="27"/>
      <x:c r="N138" s="27" t="str">
        <x:v>Contract distribution for major chain customers; generally not open to independent restaurants.</x:v>
      </x:c>
      <x:c r="O138" s="27" t="str">
        <x:v>https://www.qualitycustomdistribution.com</x:v>
      </x:c>
      <x:c r="P138" s="27" t="str">
        <x:v>qualitycustomdistribution.com</x:v>
      </x:c>
      <x:c r="Q138" s="27"/>
      <x:c r="R138" s="27" t="str"/>
      <x:c r="S138" s="27" t="str">
        <x:v>Closed or franchise/system-specific ordering</x:v>
      </x:c>
      <x:c r="T138" s="27"/>
      <x:c r="U138" s="27" t="str">
        <x:v>No public template located in this pass</x:v>
      </x:c>
      <x:c r="V138" s="27" t="str">
        <x:v>IFDA 2026</x:v>
      </x:c>
      <x:c r="W138" s="27" t="str">
        <x:v>https://ifdaonline.org/distributor-members/</x:v>
      </x:c>
      <x:c r="X138" s="27" t="str">
        <x:v>https://www.qualitycustomdistribution.com</x:v>
      </x:c>
      <x:c r="Y138" s="54" t="n">
        <x:v>46217</x:v>
      </x:c>
      <x:c r="Z138" s="27" t="str">
        <x:v>High</x:v>
      </x:c>
      <x:c r="AA138" s="27" t="str">
        <x:v>Reference only</x:v>
      </x:c>
      <x:c r="AB138" s="27" t="str">
        <x:v>No</x:v>
      </x:c>
      <x:c r="AC138" s="27" t="str">
        <x:v>Direct website verified from directory/source; customer ordering route requires additional account-level or site-specific verification.</x:v>
      </x:c>
    </x:row>
    <x:row r="139">
      <x:c r="A139" s="27" t="str">
        <x:v>quality_food_company</x:v>
      </x:c>
      <x:c r="B139" s="27" t="str">
        <x:v>Quality Food Company</x:v>
      </x:c>
      <x:c r="C139" s="27" t="str"/>
      <x:c r="D139" s="27" t="str">
        <x:v>Direct foodservice distributor</x:v>
      </x:c>
      <x:c r="E139" s="27" t="str">
        <x:v>Italian / specialty</x:v>
      </x:c>
      <x:c r="F139" s="27" t="str">
        <x:v>Active</x:v>
      </x:c>
      <x:c r="G139" s="27" t="str"/>
      <x:c r="H139" s="27" t="str">
        <x:v>United States</x:v>
      </x:c>
      <x:c r="I139" s="27" t="str">
        <x:v>US</x:v>
      </x:c>
      <x:c r="J139" s="27" t="str"/>
      <x:c r="K139" s="27" t="str">
        <x:v>Regional</x:v>
      </x:c>
      <x:c r="L139" s="27" t="str">
        <x:v>Massachusetts, Rhode Island, Connecticut, New Hampshire</x:v>
      </x:c>
      <x:c r="M139" s="27" t="str">
        <x:v>MA,RI,CT,NH</x:v>
      </x:c>
      <x:c r="N139" s="27" t="str">
        <x:v>New England Italian and specialty distribution.</x:v>
      </x:c>
      <x:c r="O139" s="27" t="str">
        <x:v>https://www.qualityfoodcompany.com</x:v>
      </x:c>
      <x:c r="P139" s="27" t="str">
        <x:v>qualityfoodcompany.com</x:v>
      </x:c>
      <x:c r="Q139" s="27"/>
      <x:c r="R139" s="27" t="str"/>
      <x:c r="S139" s="27" t="str">
        <x:v>Ordering portal not publicly verified</x:v>
      </x:c>
      <x:c r="T139" s="27"/>
      <x:c r="U139" s="27" t="str">
        <x:v>No public template located in this pass</x:v>
      </x:c>
      <x:c r="V139" s="27" t="str">
        <x:v>IFDA 2026</x:v>
      </x:c>
      <x:c r="W139" s="27" t="str">
        <x:v>https://ifdaonline.org/distributor-members/</x:v>
      </x:c>
      <x:c r="X139" s="27" t="str">
        <x:v>https://www.qualityfoodcompany.com</x:v>
      </x:c>
      <x:c r="Y139" s="54" t="n">
        <x:v>46217</x:v>
      </x:c>
      <x:c r="Z139" s="27" t="str">
        <x:v>Low</x:v>
      </x:c>
      <x:c r="AA139" s="27" t="str">
        <x:v>Review before seed</x:v>
      </x:c>
      <x:c r="AB139" s="27" t="str">
        <x:v>No</x:v>
      </x:c>
      <x:c r="AC139" s="27" t="str">
        <x:v>Direct website verified from directory/source; customer ordering route requires additional account-level or site-specific verification.</x:v>
      </x:c>
    </x:row>
    <x:row r="140">
      <x:c r="A140" s="27" t="str">
        <x:v>ray_s_produce_inc</x:v>
      </x:c>
      <x:c r="B140" s="27" t="str">
        <x:v>Ray's Produce, Inc.</x:v>
      </x:c>
      <x:c r="C140" s="27" t="str"/>
      <x:c r="D140" s="27" t="str">
        <x:v>Direct foodservice distributor</x:v>
      </x:c>
      <x:c r="E140" s="27" t="str">
        <x:v>Produce distribution</x:v>
      </x:c>
      <x:c r="F140" s="27" t="str">
        <x:v>Active</x:v>
      </x:c>
      <x:c r="G140" s="27" t="str"/>
      <x:c r="H140" s="27" t="str">
        <x:v>United States</x:v>
      </x:c>
      <x:c r="I140" s="27" t="str">
        <x:v>US</x:v>
      </x:c>
      <x:c r="J140" s="27" t="str">
        <x:v>Salem, Oregon</x:v>
      </x:c>
      <x:c r="K140" s="27" t="str">
        <x:v>Regional</x:v>
      </x:c>
      <x:c r="L140" s="27" t="str">
        <x:v>Oregon, Washington</x:v>
      </x:c>
      <x:c r="M140" s="27" t="str">
        <x:v>OR,WA</x:v>
      </x:c>
      <x:c r="N140" s="27" t="str">
        <x:v>Fresh produce distribution across Oregon and Washington.</x:v>
      </x:c>
      <x:c r="O140" s="27" t="str"/>
      <x:c r="P140" s="27" t="str"/>
      <x:c r="Q140" s="27" t="str"/>
      <x:c r="R140" s="27" t="str"/>
      <x:c r="S140" s="27" t="str">
        <x:v>Ordering portal not publicly verified</x:v>
      </x:c>
      <x:c r="T140" s="27" t="str"/>
      <x:c r="U140" s="27" t="str">
        <x:v>No public template located</x:v>
      </x:c>
      <x:c r="V140" s="27" t="str">
        <x:v>Frosty Acres 2025–2026 member</x:v>
      </x:c>
      <x:c r="W140" s="27" t="str">
        <x:v>https://www.frostyacres.com/news/d1d5f4a2-60ab-41e3-a926-40b2cefc6b6d</x:v>
      </x:c>
      <x:c r="X140" s="27" t="str">
        <x:v>https://www.frostyacres.com/news/d1d5f4a2-60ab-41e3-a926-40b2cefc6b6d</x:v>
      </x:c>
      <x:c r="Y140" s="54" t="n">
        <x:v>46217</x:v>
      </x:c>
      <x:c r="Z140" s="27" t="str">
        <x:v>High</x:v>
      </x:c>
      <x:c r="AA140" s="27" t="str">
        <x:v>Approved seed</x:v>
      </x:c>
      <x:c r="AB140" s="27" t="str">
        <x:v>Yes</x:v>
      </x:c>
      <x:c r="AC140" s="27" t="str"/>
    </x:row>
    <x:row r="141">
      <x:c r="A141" s="27" t="str">
        <x:v>restaurant_depot_jetro</x:v>
      </x:c>
      <x:c r="B141" s="27" t="str">
        <x:v>Restaurant Depot / Jetro</x:v>
      </x:c>
      <x:c r="C141" s="27" t="str">
        <x:v>Jetro | Jetro Cash &amp; Carry | Restaurant Depot</x:v>
      </x:c>
      <x:c r="D141" s="27" t="str">
        <x:v>Cash-and-carry wholesaler</x:v>
      </x:c>
      <x:c r="E141" s="27" t="str">
        <x:v>Cash-and-carry / wholesale</x:v>
      </x:c>
      <x:c r="F141" s="27" t="str">
        <x:v>Active; acquisition announced, not yet closed</x:v>
      </x:c>
      <x:c r="G141" s="27" t="str">
        <x:v>Jetro Holdings / pending Sysco transaction</x:v>
      </x:c>
      <x:c r="H141" s="27" t="str">
        <x:v>United States</x:v>
      </x:c>
      <x:c r="I141" s="27" t="str">
        <x:v>US</x:v>
      </x:c>
      <x:c r="J141" s="27" t="str"/>
      <x:c r="K141" s="27" t="str">
        <x:v>Multi-regional</x:v>
      </x:c>
      <x:c r="L141" s="27"/>
      <x:c r="M141" s="27"/>
      <x:c r="N141" s="27" t="str">
        <x:v>Cash-and-carry warehouse network in many states; use the nearest warehouse rather than assuming delivery.</x:v>
      </x:c>
      <x:c r="O141" s="27" t="str">
        <x:v>https://www.restaurantdepot.com</x:v>
      </x:c>
      <x:c r="P141" s="27" t="str">
        <x:v>restaurantdepot.com</x:v>
      </x:c>
      <x:c r="Q141" s="27"/>
      <x:c r="R141" s="27" t="str"/>
      <x:c r="S141" s="27" t="str">
        <x:v>Ordering portal not publicly verified</x:v>
      </x:c>
      <x:c r="T141" s="27"/>
      <x:c r="U141" s="27" t="str">
        <x:v>No public template located in this pass</x:v>
      </x:c>
      <x:c r="V141" s="27" t="str">
        <x:v>Supplemental research</x:v>
      </x:c>
      <x:c r="W141" s="27" t="str">
        <x:v>https://www.restaurantdepot.com</x:v>
      </x:c>
      <x:c r="X141" s="27" t="str">
        <x:v>https://www.restaurantdepot.com/locations/find-a-warehouse</x:v>
      </x:c>
      <x:c r="Y141" s="54" t="n">
        <x:v>46217</x:v>
      </x:c>
      <x:c r="Z141" s="27" t="str">
        <x:v>Medium</x:v>
      </x:c>
      <x:c r="AA141" s="27" t="str">
        <x:v>Approved seed</x:v>
      </x:c>
      <x:c r="AB141" s="27" t="str">
        <x:v>No</x:v>
      </x:c>
      <x:c r="AC141" s="27" t="str">
        <x:v>Direct website verified from directory/source; customer ordering route requires additional account-level or site-specific verification. | Sysco announced an agreement to acquire Jetro Restaurant Depot on March 30, 2026; retain as a separate vendor until closing. | Sysco announced a definitive agreement to acquire Jetro Restaurant Depot on March 30, 2026; do not consolidate vendor identity until the transaction closes.</x:v>
      </x:c>
    </x:row>
    <x:row r="142">
      <x:c r="A142" s="27" t="str">
        <x:v>restaurant_packaging_and_provisions</x:v>
      </x:c>
      <x:c r="B142" s="27" t="str">
        <x:v>Restaurant Packaging &amp; Provisions</x:v>
      </x:c>
      <x:c r="C142" s="27" t="str">
        <x:v>RPP</x:v>
      </x:c>
      <x:c r="D142" s="27" t="str">
        <x:v>Direct foodservice distributor</x:v>
      </x:c>
      <x:c r="E142" s="27" t="str">
        <x:v>Foodservice distribution and packaging</x:v>
      </x:c>
      <x:c r="F142" s="27" t="str">
        <x:v>Active</x:v>
      </x:c>
      <x:c r="G142" s="27" t="str"/>
      <x:c r="H142" s="27" t="str">
        <x:v>United States</x:v>
      </x:c>
      <x:c r="I142" s="27" t="str">
        <x:v>US</x:v>
      </x:c>
      <x:c r="J142" s="27" t="str">
        <x:v>Yorba Linda, California</x:v>
      </x:c>
      <x:c r="K142" s="27" t="str">
        <x:v>Regional / unverified</x:v>
      </x:c>
      <x:c r="L142" s="27" t="str">
        <x:v>California</x:v>
      </x:c>
      <x:c r="M142" s="27" t="str">
        <x:v>CA</x:v>
      </x:c>
      <x:c r="N142" s="27" t="str">
        <x:v>Public carrier data confirms an active California operation; delivery territory is not fully documented.</x:v>
      </x:c>
      <x:c r="O142" s="27" t="str"/>
      <x:c r="P142" s="27" t="str"/>
      <x:c r="Q142" s="27" t="str"/>
      <x:c r="R142" s="27" t="str"/>
      <x:c r="S142" s="27" t="str">
        <x:v>Ordering portal not publicly verified</x:v>
      </x:c>
      <x:c r="T142" s="27" t="str"/>
      <x:c r="U142" s="27" t="str">
        <x:v>No public template located</x:v>
      </x:c>
      <x:c r="V142" s="27" t="str">
        <x:v>Golbon current/recent member</x:v>
      </x:c>
      <x:c r="W142" s="27" t="str">
        <x:v>https://golbon.com/press-release-date/2025/</x:v>
      </x:c>
      <x:c r="X142" s="27" t="str">
        <x:v>https://safer.fmcsa.dot.gov/query.asp?query_param=USDOT&amp;query_string=4465231&amp;query_type=queryCarrierSnapshot&amp;searchtype=ANY</x:v>
      </x:c>
      <x:c r="Y142" s="54" t="n">
        <x:v>46217</x:v>
      </x:c>
      <x:c r="Z142" s="27" t="str">
        <x:v>Medium</x:v>
      </x:c>
      <x:c r="AA142" s="27" t="str">
        <x:v>Review before seed</x:v>
      </x:c>
      <x:c r="AB142" s="27" t="str">
        <x:v>Yes</x:v>
      </x:c>
      <x:c r="AC142" s="27" t="str"/>
    </x:row>
    <x:row r="143">
      <x:c r="A143" s="27" t="str">
        <x:v>royal_food_service</x:v>
      </x:c>
      <x:c r="B143" s="27" t="str">
        <x:v>Royal Food Service</x:v>
      </x:c>
      <x:c r="C143" s="27" t="str"/>
      <x:c r="D143" s="27" t="str">
        <x:v>Direct foodservice distributor</x:v>
      </x:c>
      <x:c r="E143" s="27" t="str">
        <x:v>Produce / broadline</x:v>
      </x:c>
      <x:c r="F143" s="27" t="str">
        <x:v>Active</x:v>
      </x:c>
      <x:c r="G143" s="27" t="str"/>
      <x:c r="H143" s="27" t="str">
        <x:v>United States</x:v>
      </x:c>
      <x:c r="I143" s="27" t="str">
        <x:v>US</x:v>
      </x:c>
      <x:c r="J143" s="27" t="str"/>
      <x:c r="K143" s="27" t="str">
        <x:v>Regional</x:v>
      </x:c>
      <x:c r="L143" s="27" t="str">
        <x:v>Georgia, Alabama, Tennessee, South Carolina, North Carolina</x:v>
      </x:c>
      <x:c r="M143" s="27" t="str">
        <x:v>GA,AL,TN,SC,NC</x:v>
      </x:c>
      <x:c r="N143" s="27" t="str">
        <x:v>Atlanta-centered produce and specialty distribution.</x:v>
      </x:c>
      <x:c r="O143" s="27" t="str">
        <x:v>https://www.royalfoodservice.com</x:v>
      </x:c>
      <x:c r="P143" s="27" t="str">
        <x:v>royalfoodservice.com</x:v>
      </x:c>
      <x:c r="Q143" s="27"/>
      <x:c r="R143" s="27" t="str"/>
      <x:c r="S143" s="27" t="str">
        <x:v>Ordering portal not publicly verified</x:v>
      </x:c>
      <x:c r="T143" s="27"/>
      <x:c r="U143" s="27" t="str">
        <x:v>No public template located in this pass</x:v>
      </x:c>
      <x:c r="V143" s="27" t="str">
        <x:v>IFDA 2026</x:v>
      </x:c>
      <x:c r="W143" s="27" t="str">
        <x:v>https://ifdaonline.org/distributor-members/</x:v>
      </x:c>
      <x:c r="X143" s="27" t="str">
        <x:v>https://www.royalfoodservice.com</x:v>
      </x:c>
      <x:c r="Y143" s="54" t="n">
        <x:v>46217</x:v>
      </x:c>
      <x:c r="Z143" s="27" t="str">
        <x:v>Low</x:v>
      </x:c>
      <x:c r="AA143" s="27" t="str">
        <x:v>Review before seed</x:v>
      </x:c>
      <x:c r="AB143" s="27" t="str">
        <x:v>No</x:v>
      </x:c>
      <x:c r="AC143" s="27" t="str">
        <x:v>Direct website verified from directory/source; customer ordering route requires additional account-level or site-specific verification.</x:v>
      </x:c>
    </x:row>
    <x:row r="144">
      <x:c r="A144" s="27" t="str">
        <x:v>rrs_foodservice</x:v>
      </x:c>
      <x:c r="B144" s="27" t="str">
        <x:v>RRS Foodservice</x:v>
      </x:c>
      <x:c r="C144" s="27" t="str"/>
      <x:c r="D144" s="27" t="str">
        <x:v>Direct foodservice distributor</x:v>
      </x:c>
      <x:c r="E144" s="27" t="str">
        <x:v>Broadline</x:v>
      </x:c>
      <x:c r="F144" s="27" t="str">
        <x:v>Active</x:v>
      </x:c>
      <x:c r="G144" s="27" t="str"/>
      <x:c r="H144" s="27" t="str">
        <x:v>United States</x:v>
      </x:c>
      <x:c r="I144" s="27" t="str">
        <x:v>US</x:v>
      </x:c>
      <x:c r="J144" s="27" t="str"/>
      <x:c r="K144" s="27" t="str">
        <x:v>Regional</x:v>
      </x:c>
      <x:c r="L144" s="27" t="str">
        <x:v>Virginia, North Carolina, South Carolina, West Virginia, Maryland</x:v>
      </x:c>
      <x:c r="M144" s="27" t="str">
        <x:v>VA,NC,SC,WV,MD</x:v>
      </x:c>
      <x:c r="N144" s="27" t="str">
        <x:v>Virginia-centered regional foodservice distribution.</x:v>
      </x:c>
      <x:c r="O144" s="27" t="str">
        <x:v>https://www.rrsfoodservice.com</x:v>
      </x:c>
      <x:c r="P144" s="27" t="str">
        <x:v>rrsfoodservice.com</x:v>
      </x:c>
      <x:c r="Q144" s="27"/>
      <x:c r="R144" s="27" t="str"/>
      <x:c r="S144" s="27" t="str">
        <x:v>Ordering portal not publicly verified</x:v>
      </x:c>
      <x:c r="T144" s="27"/>
      <x:c r="U144" s="27" t="str">
        <x:v>No public template located in this pass</x:v>
      </x:c>
      <x:c r="V144" s="27" t="str">
        <x:v>IFDA 2026</x:v>
      </x:c>
      <x:c r="W144" s="27" t="str">
        <x:v>https://ifdaonline.org/distributor-members/</x:v>
      </x:c>
      <x:c r="X144" s="27" t="str">
        <x:v>https://www.rrsfoodservice.com</x:v>
      </x:c>
      <x:c r="Y144" s="54" t="n">
        <x:v>46217</x:v>
      </x:c>
      <x:c r="Z144" s="27" t="str">
        <x:v>Low</x:v>
      </x:c>
      <x:c r="AA144" s="27" t="str">
        <x:v>Review before seed</x:v>
      </x:c>
      <x:c r="AB144" s="27" t="str">
        <x:v>No</x:v>
      </x:c>
      <x:c r="AC144" s="27" t="str">
        <x:v>Direct website verified from directory/source; customer ordering route requires additional account-level or site-specific verification.</x:v>
      </x:c>
    </x:row>
    <x:row r="145">
      <x:c r="A145" s="27" t="str">
        <x:v>s_and_w_wholesale_foods_llc</x:v>
      </x:c>
      <x:c r="B145" s="27" t="str">
        <x:v>S &amp; W Wholesale Foods, LLC</x:v>
      </x:c>
      <x:c r="C145" s="27" t="str"/>
      <x:c r="D145" s="27" t="str">
        <x:v>Direct foodservice distributor</x:v>
      </x:c>
      <x:c r="E145" s="27" t="str">
        <x:v>Broadline</x:v>
      </x:c>
      <x:c r="F145" s="27" t="str">
        <x:v>Active</x:v>
      </x:c>
      <x:c r="G145" s="27" t="str"/>
      <x:c r="H145" s="27" t="str">
        <x:v>United States</x:v>
      </x:c>
      <x:c r="I145" s="27" t="str">
        <x:v>US</x:v>
      </x:c>
      <x:c r="J145" s="27" t="str"/>
      <x:c r="K145" s="27" t="str">
        <x:v>Regional</x:v>
      </x:c>
      <x:c r="L145" s="27" t="str">
        <x:v>Louisiana, Mississippi, Alabama, Florida</x:v>
      </x:c>
      <x:c r="M145" s="27" t="str">
        <x:v>LA,MS,AL,FL</x:v>
      </x:c>
      <x:c r="N145" s="27" t="str">
        <x:v>Louisiana-centered Gulf South distribution.</x:v>
      </x:c>
      <x:c r="O145" s="27" t="str">
        <x:v>https://www.s-wfoods.com</x:v>
      </x:c>
      <x:c r="P145" s="27" t="str">
        <x:v>s-wfoods.com</x:v>
      </x:c>
      <x:c r="Q145" s="27"/>
      <x:c r="R145" s="27" t="str"/>
      <x:c r="S145" s="27" t="str">
        <x:v>Ordering portal not publicly verified</x:v>
      </x:c>
      <x:c r="T145" s="27"/>
      <x:c r="U145" s="27" t="str">
        <x:v>No public template located in this pass</x:v>
      </x:c>
      <x:c r="V145" s="27" t="str">
        <x:v>IFDA 2026</x:v>
      </x:c>
      <x:c r="W145" s="27" t="str">
        <x:v>https://ifdaonline.org/distributor-members/</x:v>
      </x:c>
      <x:c r="X145" s="27" t="str">
        <x:v>https://www.s-wfoods.com</x:v>
      </x:c>
      <x:c r="Y145" s="54" t="n">
        <x:v>46217</x:v>
      </x:c>
      <x:c r="Z145" s="27" t="str">
        <x:v>Low</x:v>
      </x:c>
      <x:c r="AA145" s="27" t="str">
        <x:v>Review before seed</x:v>
      </x:c>
      <x:c r="AB145" s="27" t="str">
        <x:v>No</x:v>
      </x:c>
      <x:c r="AC145" s="27" t="str">
        <x:v>Direct website verified from directory/source; customer ordering route requires additional account-level or site-specific verification.</x:v>
      </x:c>
    </x:row>
    <x:row r="146">
      <x:c r="A146" s="27" t="str">
        <x:v>s_abraham_and_sons_inc</x:v>
      </x:c>
      <x:c r="B146" s="27" t="str">
        <x:v>S. Abraham &amp; Sons, Inc.</x:v>
      </x:c>
      <x:c r="C146" s="27" t="str"/>
      <x:c r="D146" s="27" t="str">
        <x:v>Direct foodservice distributor</x:v>
      </x:c>
      <x:c r="E146" s="27" t="str">
        <x:v>Convenience / foodservice</x:v>
      </x:c>
      <x:c r="F146" s="27" t="str">
        <x:v>Active</x:v>
      </x:c>
      <x:c r="G146" s="27" t="str"/>
      <x:c r="H146" s="27" t="str">
        <x:v>United States</x:v>
      </x:c>
      <x:c r="I146" s="27" t="str">
        <x:v>US</x:v>
      </x:c>
      <x:c r="J146" s="27" t="str"/>
      <x:c r="K146" s="27" t="str">
        <x:v>Multi-regional</x:v>
      </x:c>
      <x:c r="L146" s="27" t="str">
        <x:v>Michigan, Indiana, Ohio, Illinois, Wisconsin, Kentucky</x:v>
      </x:c>
      <x:c r="M146" s="27" t="str">
        <x:v>MI,IN,OH,IL,WI,KY</x:v>
      </x:c>
      <x:c r="N146" s="27" t="str">
        <x:v>Michigan-centered convenience and foodservice distribution.</x:v>
      </x:c>
      <x:c r="O146" s="27" t="str">
        <x:v>https://www.sasinc.com</x:v>
      </x:c>
      <x:c r="P146" s="27" t="str">
        <x:v>sasinc.com</x:v>
      </x:c>
      <x:c r="Q146" s="27"/>
      <x:c r="R146" s="27" t="str"/>
      <x:c r="S146" s="27" t="str">
        <x:v>Ordering portal not publicly verified</x:v>
      </x:c>
      <x:c r="T146" s="27"/>
      <x:c r="U146" s="27" t="str">
        <x:v>No public template located in this pass</x:v>
      </x:c>
      <x:c r="V146" s="27" t="str">
        <x:v>IFDA 2026</x:v>
      </x:c>
      <x:c r="W146" s="27" t="str">
        <x:v>https://ifdaonline.org/distributor-members/</x:v>
      </x:c>
      <x:c r="X146" s="27" t="str">
        <x:v>https://www.sasinc.com</x:v>
      </x:c>
      <x:c r="Y146" s="54" t="n">
        <x:v>46217</x:v>
      </x:c>
      <x:c r="Z146" s="27" t="str">
        <x:v>Medium</x:v>
      </x:c>
      <x:c r="AA146" s="27" t="str">
        <x:v>Approved seed</x:v>
      </x:c>
      <x:c r="AB146" s="27" t="str">
        <x:v>No</x:v>
      </x:c>
      <x:c r="AC146" s="27" t="str">
        <x:v>Direct website verified from directory/source; customer ordering route requires additional account-level or site-specific verification.</x:v>
      </x:c>
    </x:row>
    <x:row r="147">
      <x:c r="A147" s="27" t="str">
        <x:v>sanwa_food_group</x:v>
      </x:c>
      <x:c r="B147" s="27" t="str">
        <x:v>Sanwa Food Group</x:v>
      </x:c>
      <x:c r="C147" s="27" t="str"/>
      <x:c r="D147" s="27" t="str">
        <x:v>Direct foodservice distributor</x:v>
      </x:c>
      <x:c r="E147" s="27" t="str">
        <x:v>Produce / broadline</x:v>
      </x:c>
      <x:c r="F147" s="27" t="str">
        <x:v>Active</x:v>
      </x:c>
      <x:c r="G147" s="27" t="str"/>
      <x:c r="H147" s="27" t="str">
        <x:v>United States</x:v>
      </x:c>
      <x:c r="I147" s="27" t="str">
        <x:v>US</x:v>
      </x:c>
      <x:c r="J147" s="27" t="str"/>
      <x:c r="K147" s="27" t="str">
        <x:v>Regional</x:v>
      </x:c>
      <x:c r="L147" s="27" t="str">
        <x:v>Florida</x:v>
      </x:c>
      <x:c r="M147" s="27" t="str">
        <x:v>FL</x:v>
      </x:c>
      <x:c r="N147" s="27" t="str">
        <x:v>Florida produce and foodservice distribution.</x:v>
      </x:c>
      <x:c r="O147" s="27" t="str">
        <x:v>https://sanwagrowers.com</x:v>
      </x:c>
      <x:c r="P147" s="27" t="str">
        <x:v>sanwagrowers.com</x:v>
      </x:c>
      <x:c r="Q147" s="27"/>
      <x:c r="R147" s="27" t="str"/>
      <x:c r="S147" s="27" t="str">
        <x:v>Ordering portal not publicly verified</x:v>
      </x:c>
      <x:c r="T147" s="27"/>
      <x:c r="U147" s="27" t="str">
        <x:v>No public template located in this pass</x:v>
      </x:c>
      <x:c r="V147" s="27" t="str">
        <x:v>IFDA 2026</x:v>
      </x:c>
      <x:c r="W147" s="27" t="str">
        <x:v>https://ifdaonline.org/distributor-members/</x:v>
      </x:c>
      <x:c r="X147" s="27" t="str">
        <x:v>https://sanwagrowers.com</x:v>
      </x:c>
      <x:c r="Y147" s="54" t="n">
        <x:v>46217</x:v>
      </x:c>
      <x:c r="Z147" s="27" t="str">
        <x:v>High</x:v>
      </x:c>
      <x:c r="AA147" s="27" t="str">
        <x:v>Approved seed</x:v>
      </x:c>
      <x:c r="AB147" s="27" t="str">
        <x:v>No</x:v>
      </x:c>
      <x:c r="AC147" s="27" t="str">
        <x:v>Direct website verified from directory/source; customer ordering route requires additional account-level or site-specific verification.</x:v>
      </x:c>
    </x:row>
    <x:row r="148">
      <x:c r="A148" s="27" t="str">
        <x:v>saval_foodservice</x:v>
      </x:c>
      <x:c r="B148" s="27" t="str">
        <x:v>Saval Foodservice</x:v>
      </x:c>
      <x:c r="C148" s="27" t="str"/>
      <x:c r="D148" s="27" t="str">
        <x:v>Direct foodservice distributor</x:v>
      </x:c>
      <x:c r="E148" s="27" t="str">
        <x:v>Broadline</x:v>
      </x:c>
      <x:c r="F148" s="27" t="str">
        <x:v>Active</x:v>
      </x:c>
      <x:c r="G148" s="27" t="str"/>
      <x:c r="H148" s="27" t="str">
        <x:v>United States</x:v>
      </x:c>
      <x:c r="I148" s="27" t="str">
        <x:v>US</x:v>
      </x:c>
      <x:c r="J148" s="27" t="str"/>
      <x:c r="K148" s="27" t="str">
        <x:v>Regional</x:v>
      </x:c>
      <x:c r="L148" s="27" t="str">
        <x:v>Maryland, Virginia, District of Columbia, Delaware, Pennsylvania</x:v>
      </x:c>
      <x:c r="M148" s="27" t="str">
        <x:v>MD,VA,DC,DE,PA</x:v>
      </x:c>
      <x:c r="N148" s="27" t="str">
        <x:v>Philadelphia-area through Roanoke, including Maryland, Virginia, D.C. and Delaware.</x:v>
      </x:c>
      <x:c r="O148" s="27" t="str">
        <x:v>https://savalfoods.com</x:v>
      </x:c>
      <x:c r="P148" s="27" t="str">
        <x:v>savalfoods.com</x:v>
      </x:c>
      <x:c r="Q148" s="27" t="str">
        <x:v>https://savalfoodservice.cutanddry.com/</x:v>
      </x:c>
      <x:c r="R148" s="27" t="str">
        <x:v>cut_and_dry</x:v>
      </x:c>
      <x:c r="S148" s="27" t="str">
        <x:v>Verified direct customer portal</x:v>
      </x:c>
      <x:c r="T148" s="27"/>
      <x:c r="U148" s="27" t="str">
        <x:v>No public template found</x:v>
      </x:c>
      <x:c r="V148" s="27" t="str">
        <x:v>IFDA 2026</x:v>
      </x:c>
      <x:c r="W148" s="27" t="str">
        <x:v>https://www.savalfoods.com/online-ordering</x:v>
      </x:c>
      <x:c r="X148" s="27" t="str">
        <x:v>https://www.savalfoods.com</x:v>
      </x:c>
      <x:c r="Y148" s="54" t="n">
        <x:v>46217</x:v>
      </x:c>
      <x:c r="Z148" s="27" t="str">
        <x:v>High</x:v>
      </x:c>
      <x:c r="AA148" s="27" t="str">
        <x:v>Approved seed</x:v>
      </x:c>
      <x:c r="AB148" s="27" t="str">
        <x:v>No</x:v>
      </x:c>
      <x:c r="AC148" s="27" t="str">
        <x:v>Cut+Dry portal supports ordering, product discovery and bill payment.</x:v>
      </x:c>
    </x:row>
    <x:row r="149">
      <x:c r="A149" s="27" t="str">
        <x:v>scarmardo_foodservice_inc</x:v>
      </x:c>
      <x:c r="B149" s="27" t="str">
        <x:v>Scarmardo Foodservice Inc.</x:v>
      </x:c>
      <x:c r="C149" s="27" t="str"/>
      <x:c r="D149" s="27" t="str">
        <x:v>Direct foodservice distributor</x:v>
      </x:c>
      <x:c r="E149" s="27" t="str">
        <x:v>Broadline</x:v>
      </x:c>
      <x:c r="F149" s="27" t="str">
        <x:v>Active</x:v>
      </x:c>
      <x:c r="G149" s="27" t="str"/>
      <x:c r="H149" s="27" t="str">
        <x:v>United States</x:v>
      </x:c>
      <x:c r="I149" s="27" t="str">
        <x:v>US</x:v>
      </x:c>
      <x:c r="J149" s="27" t="str"/>
      <x:c r="K149" s="27" t="str">
        <x:v>Regional</x:v>
      </x:c>
      <x:c r="L149" s="27" t="str">
        <x:v>Texas</x:v>
      </x:c>
      <x:c r="M149" s="27" t="str">
        <x:v>TX</x:v>
      </x:c>
      <x:c r="N149" s="27" t="str">
        <x:v>Texas-centered broadline distribution.</x:v>
      </x:c>
      <x:c r="O149" s="27" t="str">
        <x:v>https://www.scarmardofoods.com</x:v>
      </x:c>
      <x:c r="P149" s="27" t="str">
        <x:v>scarmardofoods.com</x:v>
      </x:c>
      <x:c r="Q149" s="27"/>
      <x:c r="R149" s="27" t="str"/>
      <x:c r="S149" s="27" t="str">
        <x:v>Ordering portal not publicly verified</x:v>
      </x:c>
      <x:c r="T149" s="27"/>
      <x:c r="U149" s="27" t="str">
        <x:v>No public template located in this pass</x:v>
      </x:c>
      <x:c r="V149" s="27" t="str">
        <x:v>IFDA 2026</x:v>
      </x:c>
      <x:c r="W149" s="27" t="str">
        <x:v>https://ifdaonline.org/distributor-members/</x:v>
      </x:c>
      <x:c r="X149" s="27" t="str">
        <x:v>https://www.scarmardofoods.com</x:v>
      </x:c>
      <x:c r="Y149" s="54" t="n">
        <x:v>46217</x:v>
      </x:c>
      <x:c r="Z149" s="27" t="str">
        <x:v>High</x:v>
      </x:c>
      <x:c r="AA149" s="27" t="str">
        <x:v>Approved seed</x:v>
      </x:c>
      <x:c r="AB149" s="27" t="str">
        <x:v>No</x:v>
      </x:c>
      <x:c r="AC149" s="27" t="str">
        <x:v>Direct website verified from directory/source; customer ordering route requires additional account-level or site-specific verification.</x:v>
      </x:c>
    </x:row>
    <x:row r="150">
      <x:c r="A150" s="27" t="str">
        <x:v>schenck_foods_company</x:v>
      </x:c>
      <x:c r="B150" s="27" t="str">
        <x:v>Schenck Foods Company</x:v>
      </x:c>
      <x:c r="C150" s="27" t="str"/>
      <x:c r="D150" s="27" t="str">
        <x:v>Direct foodservice distributor</x:v>
      </x:c>
      <x:c r="E150" s="27" t="str">
        <x:v>Broadline</x:v>
      </x:c>
      <x:c r="F150" s="27" t="str">
        <x:v>Active</x:v>
      </x:c>
      <x:c r="G150" s="27" t="str"/>
      <x:c r="H150" s="27" t="str">
        <x:v>United States</x:v>
      </x:c>
      <x:c r="I150" s="27" t="str">
        <x:v>US</x:v>
      </x:c>
      <x:c r="J150" s="27" t="str"/>
      <x:c r="K150" s="27" t="str">
        <x:v>Regional</x:v>
      </x:c>
      <x:c r="L150" s="27" t="str">
        <x:v>Virginia, West Virginia, Maryland, Pennsylvania</x:v>
      </x:c>
      <x:c r="M150" s="27" t="str">
        <x:v>VA,WV,MD,PA</x:v>
      </x:c>
      <x:c r="N150" s="27" t="str">
        <x:v>Winchester, Virginia-centered regional distribution.</x:v>
      </x:c>
      <x:c r="O150" s="27" t="str">
        <x:v>https://schenckfoods.com</x:v>
      </x:c>
      <x:c r="P150" s="27" t="str">
        <x:v>schenckfoods.com</x:v>
      </x:c>
      <x:c r="Q150" s="27"/>
      <x:c r="R150" s="27" t="str"/>
      <x:c r="S150" s="27" t="str">
        <x:v>Ordering portal not publicly verified</x:v>
      </x:c>
      <x:c r="T150" s="27"/>
      <x:c r="U150" s="27" t="str">
        <x:v>No public template located in this pass</x:v>
      </x:c>
      <x:c r="V150" s="27" t="str">
        <x:v>IFDA 2026</x:v>
      </x:c>
      <x:c r="W150" s="27" t="str">
        <x:v>https://ifdaonline.org/distributor-members/</x:v>
      </x:c>
      <x:c r="X150" s="27" t="str">
        <x:v>https://schenckfoods.com</x:v>
      </x:c>
      <x:c r="Y150" s="54" t="n">
        <x:v>46217</x:v>
      </x:c>
      <x:c r="Z150" s="27" t="str">
        <x:v>Low</x:v>
      </x:c>
      <x:c r="AA150" s="27" t="str">
        <x:v>Review before seed</x:v>
      </x:c>
      <x:c r="AB150" s="27" t="str">
        <x:v>No</x:v>
      </x:c>
      <x:c r="AC150" s="27" t="str">
        <x:v>Direct website verified from directory/source; customer ordering route requires additional account-level or site-specific verification.</x:v>
      </x:c>
    </x:row>
    <x:row r="151">
      <x:c r="A151" s="27" t="str">
        <x:v>schiff_s_food_service_inc</x:v>
      </x:c>
      <x:c r="B151" s="27" t="str">
        <x:v>Schiff's Food Service, Inc.</x:v>
      </x:c>
      <x:c r="C151" s="27" t="str"/>
      <x:c r="D151" s="27" t="str">
        <x:v>Direct foodservice distributor</x:v>
      </x:c>
      <x:c r="E151" s="27" t="str">
        <x:v>Broadline</x:v>
      </x:c>
      <x:c r="F151" s="27" t="str">
        <x:v>Active</x:v>
      </x:c>
      <x:c r="G151" s="27" t="str"/>
      <x:c r="H151" s="27" t="str">
        <x:v>United States</x:v>
      </x:c>
      <x:c r="I151" s="27" t="str">
        <x:v>US</x:v>
      </x:c>
      <x:c r="J151" s="27" t="str"/>
      <x:c r="K151" s="27" t="str">
        <x:v>Regional</x:v>
      </x:c>
      <x:c r="L151" s="27" t="str">
        <x:v>Pennsylvania, New Jersey, New York</x:v>
      </x:c>
      <x:c r="M151" s="27" t="str">
        <x:v>PA,NJ,NY</x:v>
      </x:c>
      <x:c r="N151" s="27" t="str">
        <x:v>Pennsylvania-centered Northeast distribution.</x:v>
      </x:c>
      <x:c r="O151" s="27" t="str">
        <x:v>https://www.schiffs.com</x:v>
      </x:c>
      <x:c r="P151" s="27" t="str">
        <x:v>schiffs.com</x:v>
      </x:c>
      <x:c r="Q151" s="27"/>
      <x:c r="R151" s="27" t="str"/>
      <x:c r="S151" s="27" t="str">
        <x:v>Ordering portal not publicly verified</x:v>
      </x:c>
      <x:c r="T151" s="27"/>
      <x:c r="U151" s="27" t="str">
        <x:v>No public template located in this pass</x:v>
      </x:c>
      <x:c r="V151" s="27" t="str">
        <x:v>IFDA 2026</x:v>
      </x:c>
      <x:c r="W151" s="27" t="str">
        <x:v>https://ifdaonline.org/distributor-members/</x:v>
      </x:c>
      <x:c r="X151" s="27" t="str">
        <x:v>https://www.schiffs.com</x:v>
      </x:c>
      <x:c r="Y151" s="54" t="n">
        <x:v>46217</x:v>
      </x:c>
      <x:c r="Z151" s="27" t="str">
        <x:v>Low</x:v>
      </x:c>
      <x:c r="AA151" s="27" t="str">
        <x:v>Review before seed</x:v>
      </x:c>
      <x:c r="AB151" s="27" t="str">
        <x:v>No</x:v>
      </x:c>
      <x:c r="AC151" s="27" t="str">
        <x:v>Direct website verified from directory/source; customer ordering route requires additional account-level or site-specific verification.</x:v>
      </x:c>
    </x:row>
    <x:row r="152">
      <x:c r="A152" s="27" t="str">
        <x:v>scooter_s_coffee_harvest_roasting</x:v>
      </x:c>
      <x:c r="B152" s="27" t="str">
        <x:v>Scooter's Coffee / Harvest Roasting</x:v>
      </x:c>
      <x:c r="C152" s="27" t="str"/>
      <x:c r="D152" s="27" t="str">
        <x:v>Closed or contract supply system</x:v>
      </x:c>
      <x:c r="E152" s="27" t="str">
        <x:v>Closed-system / coffee chain</x:v>
      </x:c>
      <x:c r="F152" s="27" t="str">
        <x:v>Active</x:v>
      </x:c>
      <x:c r="G152" s="27" t="str"/>
      <x:c r="H152" s="27" t="str">
        <x:v>United States</x:v>
      </x:c>
      <x:c r="I152" s="27" t="str">
        <x:v>US</x:v>
      </x:c>
      <x:c r="J152" s="27" t="str"/>
      <x:c r="K152" s="27" t="str">
        <x:v>Closed system</x:v>
      </x:c>
      <x:c r="L152" s="27"/>
      <x:c r="M152" s="27"/>
      <x:c r="N152" s="27" t="str">
        <x:v>Coffee-chain supply operation; not a general independent-restaurant purveyor.</x:v>
      </x:c>
      <x:c r="O152" s="27" t="str">
        <x:v>https://www.harvestroasting.com</x:v>
      </x:c>
      <x:c r="P152" s="27" t="str">
        <x:v>harvestroasting.com</x:v>
      </x:c>
      <x:c r="Q152" s="27"/>
      <x:c r="R152" s="27" t="str"/>
      <x:c r="S152" s="27" t="str">
        <x:v>Closed or franchise/system-specific ordering</x:v>
      </x:c>
      <x:c r="T152" s="27"/>
      <x:c r="U152" s="27" t="str">
        <x:v>No public template located in this pass</x:v>
      </x:c>
      <x:c r="V152" s="27" t="str">
        <x:v>IFDA 2026</x:v>
      </x:c>
      <x:c r="W152" s="27" t="str">
        <x:v>https://ifdaonline.org/distributor-members/</x:v>
      </x:c>
      <x:c r="X152" s="27" t="str">
        <x:v>https://www.harvestroasting.com</x:v>
      </x:c>
      <x:c r="Y152" s="54" t="n">
        <x:v>46217</x:v>
      </x:c>
      <x:c r="Z152" s="27" t="str">
        <x:v>High</x:v>
      </x:c>
      <x:c r="AA152" s="27" t="str">
        <x:v>Reference only</x:v>
      </x:c>
      <x:c r="AB152" s="27" t="str">
        <x:v>No</x:v>
      </x:c>
      <x:c r="AC152" s="27" t="str">
        <x:v>Direct website verified from directory/source; customer ordering route requires additional account-level or site-specific verification.</x:v>
      </x:c>
    </x:row>
    <x:row r="153">
      <x:c r="A153" s="27" t="str">
        <x:v>sgc_foodservice</x:v>
      </x:c>
      <x:c r="B153" s="27" t="str">
        <x:v>SGC Foodservice</x:v>
      </x:c>
      <x:c r="C153" s="27" t="str"/>
      <x:c r="D153" s="27" t="str">
        <x:v>Direct foodservice distributor</x:v>
      </x:c>
      <x:c r="E153" s="27" t="str">
        <x:v>Broadline</x:v>
      </x:c>
      <x:c r="F153" s="27" t="str">
        <x:v>Active</x:v>
      </x:c>
      <x:c r="G153" s="27" t="str"/>
      <x:c r="H153" s="27" t="str">
        <x:v>United States</x:v>
      </x:c>
      <x:c r="I153" s="27" t="str">
        <x:v>US</x:v>
      </x:c>
      <x:c r="J153" s="27" t="str"/>
      <x:c r="K153" s="27" t="str">
        <x:v>Regional</x:v>
      </x:c>
      <x:c r="L153" s="27" t="str">
        <x:v>Illinois, Missouri, Kansas, Oklahoma, Arkansas, Tennessee</x:v>
      </x:c>
      <x:c r="M153" s="27" t="str">
        <x:v>IL,MO,KS,OK,AR,TN</x:v>
      </x:c>
      <x:c r="N153" s="27" t="str">
        <x:v>Centered in Springfield, Missouri; public description spans Decatur to Oklahoma City and Memphis to Wichita.</x:v>
      </x:c>
      <x:c r="O153" s="27" t="str">
        <x:v>https://www.sgcfoodservice.com</x:v>
      </x:c>
      <x:c r="P153" s="27" t="str">
        <x:v>sgcfoodservice.com</x:v>
      </x:c>
      <x:c r="Q153" s="27" t="str">
        <x:v>https://pnet.sgcfoodservice.com/</x:v>
      </x:c>
      <x:c r="R153" s="27" t="str">
        <x:v>powernet_pnet</x:v>
      </x:c>
      <x:c r="S153" s="27" t="str">
        <x:v>Verified direct customer portal</x:v>
      </x:c>
      <x:c r="T153" s="27"/>
      <x:c r="U153" s="27" t="str">
        <x:v>No public template found</x:v>
      </x:c>
      <x:c r="V153" s="27" t="str">
        <x:v>IFDA 2026</x:v>
      </x:c>
      <x:c r="W153" s="27" t="str">
        <x:v>https://www.sgcfoodservice.com/mysgc-order-entry/</x:v>
      </x:c>
      <x:c r="X153" s="27" t="str">
        <x:v>https://www.sgcfoodservice.com/about/</x:v>
      </x:c>
      <x:c r="Y153" s="54" t="n">
        <x:v>46217</x:v>
      </x:c>
      <x:c r="Z153" s="27" t="str">
        <x:v>High</x:v>
      </x:c>
      <x:c r="AA153" s="27" t="str">
        <x:v>Approved seed</x:v>
      </x:c>
      <x:c r="AB153" s="27" t="str">
        <x:v>No</x:v>
      </x:c>
      <x:c r="AC153" s="27" t="str">
        <x:v>MySGC/PowerNet ordering options are linked from the public site.</x:v>
      </x:c>
    </x:row>
    <x:row r="154">
      <x:c r="A154" s="27" t="str">
        <x:v>shamrock_foods_company</x:v>
      </x:c>
      <x:c r="B154" s="27" t="str">
        <x:v>Shamrock Foods Company</x:v>
      </x:c>
      <x:c r="C154" s="27" t="str"/>
      <x:c r="D154" s="27" t="str">
        <x:v>Direct foodservice distributor</x:v>
      </x:c>
      <x:c r="E154" s="27" t="str">
        <x:v>Broadline</x:v>
      </x:c>
      <x:c r="F154" s="27" t="str">
        <x:v>Active</x:v>
      </x:c>
      <x:c r="G154" s="27" t="str"/>
      <x:c r="H154" s="27" t="str">
        <x:v>United States</x:v>
      </x:c>
      <x:c r="I154" s="27" t="str">
        <x:v>US</x:v>
      </x:c>
      <x:c r="J154" s="27" t="str"/>
      <x:c r="K154" s="27" t="str">
        <x:v>Multi-regional</x:v>
      </x:c>
      <x:c r="L154" s="27" t="str">
        <x:v>Arizona, California, Colorado, Idaho, Kansas, Montana, Nebraska, Nevada, New Mexico, Oregon, South Dakota, Texas, Utah, Wyoming</x:v>
      </x:c>
      <x:c r="M154" s="27" t="str">
        <x:v>AZ,CA,CO,ID,KS,MT,NE,NV,NM,OR,SD,TX,UT,WY</x:v>
      </x:c>
      <x:c r="N154" s="27" t="str">
        <x:v>Published western footprint with distribution and sales operations across these states.</x:v>
      </x:c>
      <x:c r="O154" s="27" t="str">
        <x:v>https://www.shamrockfoods.com</x:v>
      </x:c>
      <x:c r="P154" s="27" t="str">
        <x:v>shamrockfoods.com</x:v>
      </x:c>
      <x:c r="Q154" s="27" t="str">
        <x:v>https://m.myshamrock.com/</x:v>
      </x:c>
      <x:c r="R154" s="27" t="str">
        <x:v>my_shamrock</x:v>
      </x:c>
      <x:c r="S154" s="27" t="str">
        <x:v>Verified direct customer portal (MyShamrock)</x:v>
      </x:c>
      <x:c r="T154" s="27"/>
      <x:c r="U154" s="27" t="str">
        <x:v>No public template found</x:v>
      </x:c>
      <x:c r="V154" s="27" t="str">
        <x:v>IFDA 2026</x:v>
      </x:c>
      <x:c r="W154" s="27" t="str">
        <x:v>https://www.shamrockfoodservice.com/resources/shamrockorders/</x:v>
      </x:c>
      <x:c r="X154" s="27" t="str">
        <x:v>https://www.shamrockfoodservice.com/locations/</x:v>
      </x:c>
      <x:c r="Y154" s="54" t="n">
        <x:v>46217</x:v>
      </x:c>
      <x:c r="Z154" s="27" t="str">
        <x:v>High</x:v>
      </x:c>
      <x:c r="AA154" s="27" t="str">
        <x:v>Approved seed</x:v>
      </x:c>
      <x:c r="AB154" s="27" t="str">
        <x:v>No</x:v>
      </x:c>
      <x:c r="AC154" s="27" t="str">
        <x:v>Supports online ordering and customizable sheet-to-shelf order guides.</x:v>
      </x:c>
    </x:row>
    <x:row r="155">
      <x:c r="A155" s="27" t="str">
        <x:v>shore_foods</x:v>
      </x:c>
      <x:c r="B155" s="27" t="str">
        <x:v>Shore Foods</x:v>
      </x:c>
      <x:c r="C155" s="27" t="str"/>
      <x:c r="D155" s="27" t="str">
        <x:v>Direct foodservice distributor</x:v>
      </x:c>
      <x:c r="E155" s="27" t="str">
        <x:v>Broadline foodservice</x:v>
      </x:c>
      <x:c r="F155" s="27" t="str">
        <x:v>Active</x:v>
      </x:c>
      <x:c r="G155" s="27" t="str"/>
      <x:c r="H155" s="27" t="str">
        <x:v>United States</x:v>
      </x:c>
      <x:c r="I155" s="27" t="str">
        <x:v>US</x:v>
      </x:c>
      <x:c r="J155" s="27" t="str">
        <x:v>Beachwood, New Jersey</x:v>
      </x:c>
      <x:c r="K155" s="27" t="str">
        <x:v>Regional</x:v>
      </x:c>
      <x:c r="L155" s="27" t="str">
        <x:v>New Jersey</x:v>
      </x:c>
      <x:c r="M155" s="27" t="str">
        <x:v>NJ</x:v>
      </x:c>
      <x:c r="N155" s="27" t="str">
        <x:v>Approximately 100 miles around Beachwood and along the Jersey Shore.</x:v>
      </x:c>
      <x:c r="O155" s="27" t="str">
        <x:v>https://shorefoodsnj.com/</x:v>
      </x:c>
      <x:c r="P155" s="27" t="str">
        <x:v>shorefoodsnj.com</x:v>
      </x:c>
      <x:c r="Q155" s="27" t="str">
        <x:v>https://shorefoodsnj.com/shop/</x:v>
      </x:c>
      <x:c r="R155" s="27" t="str">
        <x:v>public_ecommerce</x:v>
      </x:c>
      <x:c r="S155" s="27" t="str">
        <x:v>Public e-commerce / customer account storefront</x:v>
      </x:c>
      <x:c r="T155" s="27" t="str"/>
      <x:c r="U155" s="27" t="str">
        <x:v>No public template located</x:v>
      </x:c>
      <x:c r="V155" s="27" t="str">
        <x:v>Golbon current/recent member</x:v>
      </x:c>
      <x:c r="W155" s="27" t="str">
        <x:v>https://golbon.com/press/golbon-welcomes-new-member-shore-foods/</x:v>
      </x:c>
      <x:c r="X155" s="27" t="str">
        <x:v>https://golbon.com/press/golbon-welcomes-new-member-shore-foods/</x:v>
      </x:c>
      <x:c r="Y155" s="54" t="n">
        <x:v>46217</x:v>
      </x:c>
      <x:c r="Z155" s="27" t="str">
        <x:v>High</x:v>
      </x:c>
      <x:c r="AA155" s="27" t="str">
        <x:v>Approved seed</x:v>
      </x:c>
      <x:c r="AB155" s="27" t="str">
        <x:v>Yes</x:v>
      </x:c>
      <x:c r="AC155" s="27" t="str"/>
    </x:row>
    <x:row r="156">
      <x:c r="A156" s="27" t="str">
        <x:v>sirna_and_sons_produce</x:v>
      </x:c>
      <x:c r="B156" s="27" t="str">
        <x:v>Sirna and Sons Produce</x:v>
      </x:c>
      <x:c r="C156" s="27" t="str"/>
      <x:c r="D156" s="27" t="str">
        <x:v>Direct foodservice distributor</x:v>
      </x:c>
      <x:c r="E156" s="27" t="str">
        <x:v>Produce distribution</x:v>
      </x:c>
      <x:c r="F156" s="27" t="str">
        <x:v>Active</x:v>
      </x:c>
      <x:c r="G156" s="27" t="str"/>
      <x:c r="H156" s="27" t="str">
        <x:v>United States</x:v>
      </x:c>
      <x:c r="I156" s="27" t="str">
        <x:v>US</x:v>
      </x:c>
      <x:c r="J156" s="27" t="str">
        <x:v>Ohio / Pennsylvania region</x:v>
      </x:c>
      <x:c r="K156" s="27" t="str">
        <x:v>Regional / unverified</x:v>
      </x:c>
      <x:c r="L156" s="27" t="str">
        <x:v>Ohio, Pennsylvania</x:v>
      </x:c>
      <x:c r="M156" s="27" t="str">
        <x:v>OH,PA</x:v>
      </x:c>
      <x:c r="N156" s="27" t="str">
        <x:v>Regional produce distribution; exact routes require verification.</x:v>
      </x:c>
      <x:c r="O156" s="27" t="str"/>
      <x:c r="P156" s="27" t="str"/>
      <x:c r="Q156" s="27" t="str"/>
      <x:c r="R156" s="27" t="str"/>
      <x:c r="S156" s="27" t="str">
        <x:v>Ordering portal not publicly verified</x:v>
      </x:c>
      <x:c r="T156" s="27" t="str"/>
      <x:c r="U156" s="27" t="str">
        <x:v>No public template located</x:v>
      </x:c>
      <x:c r="V156" s="27" t="str">
        <x:v>Golbon current/recent member</x:v>
      </x:c>
      <x:c r="W156" s="27" t="str">
        <x:v>https://golbon.com/press/</x:v>
      </x:c>
      <x:c r="X156" s="27" t="str">
        <x:v>https://golbon.com/press/</x:v>
      </x:c>
      <x:c r="Y156" s="54" t="n">
        <x:v>46217</x:v>
      </x:c>
      <x:c r="Z156" s="27" t="str">
        <x:v>Low</x:v>
      </x:c>
      <x:c r="AA156" s="27" t="str">
        <x:v>Review before seed</x:v>
      </x:c>
      <x:c r="AB156" s="27" t="str">
        <x:v>Yes</x:v>
      </x:c>
      <x:c r="AC156" s="27" t="str"/>
    </x:row>
    <x:row r="157">
      <x:c r="A157" s="27" t="str">
        <x:v>snack_attack_inc</x:v>
      </x:c>
      <x:c r="B157" s="27" t="str">
        <x:v>Snack Attack, Inc.</x:v>
      </x:c>
      <x:c r="C157" s="27" t="str">
        <x:v>Snack Attack Distributing</x:v>
      </x:c>
      <x:c r="D157" s="27" t="str">
        <x:v>Direct foodservice distributor</x:v>
      </x:c>
      <x:c r="E157" s="27" t="str">
        <x:v>Institutional shelf-stable food and commissary supplies</x:v>
      </x:c>
      <x:c r="F157" s="27" t="str">
        <x:v>Active</x:v>
      </x:c>
      <x:c r="G157" s="27" t="str"/>
      <x:c r="H157" s="27" t="str">
        <x:v>United States</x:v>
      </x:c>
      <x:c r="I157" s="27" t="str">
        <x:v>US</x:v>
      </x:c>
      <x:c r="J157" s="27" t="str">
        <x:v>Circleville, Ohio</x:v>
      </x:c>
      <x:c r="K157" s="27" t="str">
        <x:v>Institutional / regional</x:v>
      </x:c>
      <x:c r="L157" s="27" t="str">
        <x:v>Ohio</x:v>
      </x:c>
      <x:c r="M157" s="27" t="str">
        <x:v>OH</x:v>
      </x:c>
      <x:c r="N157" s="27" t="str">
        <x:v>Correctional and other institutional customers; broader footprint not publicly enumerated.</x:v>
      </x:c>
      <x:c r="O157" s="27" t="str">
        <x:v>https://www.snackattackdistributors.com/</x:v>
      </x:c>
      <x:c r="P157" s="27" t="str">
        <x:v>snackattackdistributors.com</x:v>
      </x:c>
      <x:c r="Q157" s="27" t="str"/>
      <x:c r="R157" s="27" t="str"/>
      <x:c r="S157" s="27" t="str">
        <x:v>Ordering portal not publicly verified</x:v>
      </x:c>
      <x:c r="T157" s="27" t="str"/>
      <x:c r="U157" s="27" t="str">
        <x:v>No public template located</x:v>
      </x:c>
      <x:c r="V157" s="27" t="str">
        <x:v>Golbon current/recent member</x:v>
      </x:c>
      <x:c r="W157" s="27" t="str">
        <x:v>https://golbon.com/press/golbon-welcomes-new-member-snack-attack/</x:v>
      </x:c>
      <x:c r="X157" s="27" t="str">
        <x:v>https://golbon.com/press/golbon-welcomes-new-member-snack-attack/</x:v>
      </x:c>
      <x:c r="Y157" s="54" t="n">
        <x:v>46217</x:v>
      </x:c>
      <x:c r="Z157" s="27" t="str">
        <x:v>Medium</x:v>
      </x:c>
      <x:c r="AA157" s="27" t="str">
        <x:v>Approved seed</x:v>
      </x:c>
      <x:c r="AB157" s="27" t="str">
        <x:v>Yes</x:v>
      </x:c>
      <x:c r="AC157" s="27" t="str"/>
    </x:row>
    <x:row r="158">
      <x:c r="A158" s="27" t="str">
        <x:v>sofo_foods</x:v>
      </x:c>
      <x:c r="B158" s="27" t="str">
        <x:v>Sofo Foods</x:v>
      </x:c>
      <x:c r="C158" s="27" t="str"/>
      <x:c r="D158" s="27" t="str">
        <x:v>Direct foodservice distributor</x:v>
      </x:c>
      <x:c r="E158" s="27" t="str">
        <x:v>Italian / broadline</x:v>
      </x:c>
      <x:c r="F158" s="27" t="str">
        <x:v>Active</x:v>
      </x:c>
      <x:c r="G158" s="27" t="str"/>
      <x:c r="H158" s="27" t="str">
        <x:v>United States</x:v>
      </x:c>
      <x:c r="I158" s="27" t="str">
        <x:v>US</x:v>
      </x:c>
      <x:c r="J158" s="27" t="str"/>
      <x:c r="K158" s="27" t="str">
        <x:v>Multi-regional</x:v>
      </x:c>
      <x:c r="L158" s="27" t="str">
        <x:v>Ohio, Georgia, Texas</x:v>
      </x:c>
      <x:c r="M158" s="27" t="str">
        <x:v>OH,GA,TX</x:v>
      </x:c>
      <x:c r="N158" s="27" t="str">
        <x:v>Facilities are published in Ohio, Georgia and Texas; broader sales territory is shown by the company map.</x:v>
      </x:c>
      <x:c r="O158" s="27" t="str">
        <x:v>https://www.sofofoods.com</x:v>
      </x:c>
      <x:c r="P158" s="27" t="str">
        <x:v>sofofoods.com</x:v>
      </x:c>
      <x:c r="Q158" s="27" t="str">
        <x:v>https://order.sofofoods.com/pnet/eOrder</x:v>
      </x:c>
      <x:c r="R158" s="27" t="str">
        <x:v>powernet_pnet</x:v>
      </x:c>
      <x:c r="S158" s="27" t="str">
        <x:v>Verified direct customer portal</x:v>
      </x:c>
      <x:c r="T158" s="27"/>
      <x:c r="U158" s="27" t="str">
        <x:v>No public template found</x:v>
      </x:c>
      <x:c r="V158" s="27" t="str">
        <x:v>IFDA 2026</x:v>
      </x:c>
      <x:c r="W158" s="27" t="str">
        <x:v>https://www.sofofoods.com/order</x:v>
      </x:c>
      <x:c r="X158" s="27" t="str">
        <x:v>https://www.sofofoods.com/contact</x:v>
      </x:c>
      <x:c r="Y158" s="54" t="n">
        <x:v>46217</x:v>
      </x:c>
      <x:c r="Z158" s="27" t="str">
        <x:v>Medium</x:v>
      </x:c>
      <x:c r="AA158" s="27" t="str">
        <x:v>Approved seed</x:v>
      </x:c>
      <x:c r="AB158" s="27" t="str">
        <x:v>No</x:v>
      </x:c>
      <x:c r="AC158" s="27" t="str">
        <x:v>Current customers can sign up for online ordering; a Pepper portal also exists.</x:v>
      </x:c>
    </x:row>
    <x:row r="159">
      <x:c r="A159" s="27" t="str">
        <x:v>sonship_distributing</x:v>
      </x:c>
      <x:c r="B159" s="27" t="str">
        <x:v>SonShip Distributing</x:v>
      </x:c>
      <x:c r="C159" s="27" t="str"/>
      <x:c r="D159" s="27" t="str">
        <x:v>Direct foodservice distributor</x:v>
      </x:c>
      <x:c r="E159" s="27" t="str">
        <x:v>Consumer goods, grocery and foodservice distribution</x:v>
      </x:c>
      <x:c r="F159" s="27" t="str">
        <x:v>Active</x:v>
      </x:c>
      <x:c r="G159" s="27" t="str"/>
      <x:c r="H159" s="27" t="str">
        <x:v>United States</x:v>
      </x:c>
      <x:c r="I159" s="27" t="str">
        <x:v>US</x:v>
      </x:c>
      <x:c r="J159" s="27" t="str">
        <x:v>United States</x:v>
      </x:c>
      <x:c r="K159" s="27" t="str">
        <x:v>Unverified</x:v>
      </x:c>
      <x:c r="L159" s="27" t="str"/>
      <x:c r="M159" s="27" t="str"/>
      <x:c r="N159" s="27" t="str">
        <x:v>Food, groceries, household goods and hardware; operating territory not publicly enumerated.</x:v>
      </x:c>
      <x:c r="O159" s="27" t="str">
        <x:v>https://sonshipdist.com/</x:v>
      </x:c>
      <x:c r="P159" s="27" t="str">
        <x:v>sonshipdist.com</x:v>
      </x:c>
      <x:c r="Q159" s="27" t="str"/>
      <x:c r="R159" s="27" t="str"/>
      <x:c r="S159" s="27" t="str">
        <x:v>Ordering portal not publicly verified</x:v>
      </x:c>
      <x:c r="T159" s="27" t="str"/>
      <x:c r="U159" s="27" t="str">
        <x:v>No public template located</x:v>
      </x:c>
      <x:c r="V159" s="27" t="str">
        <x:v>Golbon current/recent member</x:v>
      </x:c>
      <x:c r="W159" s="27" t="str">
        <x:v>https://golbon.com/press/golbon-welcomes-new-member-sonship-distributing/</x:v>
      </x:c>
      <x:c r="X159" s="27" t="str">
        <x:v>https://golbon.com/press/golbon-welcomes-new-member-sonship-distributing/</x:v>
      </x:c>
      <x:c r="Y159" s="54" t="n">
        <x:v>46217</x:v>
      </x:c>
      <x:c r="Z159" s="27" t="str">
        <x:v>Low</x:v>
      </x:c>
      <x:c r="AA159" s="27" t="str">
        <x:v>Review before seed</x:v>
      </x:c>
      <x:c r="AB159" s="27" t="str">
        <x:v>Yes</x:v>
      </x:c>
      <x:c r="AC159" s="27" t="str"/>
    </x:row>
    <x:row r="160">
      <x:c r="A160" s="27" t="str">
        <x:v>southeastern_food_merchandisers</x:v>
      </x:c>
      <x:c r="B160" s="27" t="str">
        <x:v>Southeastern Food Merchandisers</x:v>
      </x:c>
      <x:c r="C160" s="27" t="str"/>
      <x:c r="D160" s="27" t="str">
        <x:v>Direct foodservice distributor</x:v>
      </x:c>
      <x:c r="E160" s="27" t="str">
        <x:v>Broadline / specialty</x:v>
      </x:c>
      <x:c r="F160" s="27" t="str">
        <x:v>Active</x:v>
      </x:c>
      <x:c r="G160" s="27" t="str"/>
      <x:c r="H160" s="27" t="str">
        <x:v>United States</x:v>
      </x:c>
      <x:c r="I160" s="27" t="str">
        <x:v>US</x:v>
      </x:c>
      <x:c r="J160" s="27" t="str"/>
      <x:c r="K160" s="27" t="str">
        <x:v>Regional</x:v>
      </x:c>
      <x:c r="L160" s="27" t="str">
        <x:v>Alabama, Georgia, Florida, Mississippi, Tennessee</x:v>
      </x:c>
      <x:c r="M160" s="27" t="str">
        <x:v>AL,GA,FL,MS,TN</x:v>
      </x:c>
      <x:c r="N160" s="27" t="str">
        <x:v>Southeastern regional food distribution.</x:v>
      </x:c>
      <x:c r="O160" s="27" t="str">
        <x:v>https://www.southeasternfood.com</x:v>
      </x:c>
      <x:c r="P160" s="27" t="str">
        <x:v>southeasternfood.com</x:v>
      </x:c>
      <x:c r="Q160" s="27"/>
      <x:c r="R160" s="27" t="str"/>
      <x:c r="S160" s="27" t="str">
        <x:v>Ordering portal not publicly verified</x:v>
      </x:c>
      <x:c r="T160" s="27"/>
      <x:c r="U160" s="27" t="str">
        <x:v>No public template located in this pass</x:v>
      </x:c>
      <x:c r="V160" s="27" t="str">
        <x:v>IFDA 2026</x:v>
      </x:c>
      <x:c r="W160" s="27" t="str">
        <x:v>https://ifdaonline.org/distributor-members/</x:v>
      </x:c>
      <x:c r="X160" s="27" t="str">
        <x:v>https://www.southeasternfood.com</x:v>
      </x:c>
      <x:c r="Y160" s="54" t="n">
        <x:v>46217</x:v>
      </x:c>
      <x:c r="Z160" s="27" t="str">
        <x:v>Low</x:v>
      </x:c>
      <x:c r="AA160" s="27" t="str">
        <x:v>Review before seed</x:v>
      </x:c>
      <x:c r="AB160" s="27" t="str">
        <x:v>No</x:v>
      </x:c>
      <x:c r="AC160" s="27" t="str">
        <x:v>Direct website verified from directory/source; customer ordering route requires additional account-level or site-specific verification.</x:v>
      </x:c>
    </x:row>
    <x:row r="161">
      <x:c r="A161" s="27" t="str">
        <x:v>southwest_traders_inc</x:v>
      </x:c>
      <x:c r="B161" s="27" t="str">
        <x:v>Southwest Traders, Inc.</x:v>
      </x:c>
      <x:c r="C161" s="27" t="str"/>
      <x:c r="D161" s="27" t="str">
        <x:v>Direct foodservice distributor</x:v>
      </x:c>
      <x:c r="E161" s="27" t="str">
        <x:v>Broadline / specialty</x:v>
      </x:c>
      <x:c r="F161" s="27" t="str">
        <x:v>Active</x:v>
      </x:c>
      <x:c r="G161" s="27" t="str"/>
      <x:c r="H161" s="27" t="str">
        <x:v>United States</x:v>
      </x:c>
      <x:c r="I161" s="27" t="str">
        <x:v>US</x:v>
      </x:c>
      <x:c r="J161" s="27" t="str"/>
      <x:c r="K161" s="27" t="str">
        <x:v>Regional</x:v>
      </x:c>
      <x:c r="L161" s="27" t="str">
        <x:v>California, Arizona, Nevada</x:v>
      </x:c>
      <x:c r="M161" s="27" t="str">
        <x:v>CA,AZ,NV</x:v>
      </x:c>
      <x:c r="N161" s="27" t="str">
        <x:v>Southern California-centered specialty and broadline distribution.</x:v>
      </x:c>
      <x:c r="O161" s="27" t="str">
        <x:v>https://www.southwesttraders.com</x:v>
      </x:c>
      <x:c r="P161" s="27" t="str">
        <x:v>southwesttraders.com</x:v>
      </x:c>
      <x:c r="Q161" s="27"/>
      <x:c r="R161" s="27" t="str"/>
      <x:c r="S161" s="27" t="str">
        <x:v>Ordering portal not publicly verified</x:v>
      </x:c>
      <x:c r="T161" s="27"/>
      <x:c r="U161" s="27" t="str">
        <x:v>No public template located in this pass</x:v>
      </x:c>
      <x:c r="V161" s="27" t="str">
        <x:v>IFDA 2026</x:v>
      </x:c>
      <x:c r="W161" s="27" t="str">
        <x:v>https://ifdaonline.org/distributor-members/</x:v>
      </x:c>
      <x:c r="X161" s="27" t="str">
        <x:v>https://www.southwesttraders.com</x:v>
      </x:c>
      <x:c r="Y161" s="54" t="n">
        <x:v>46217</x:v>
      </x:c>
      <x:c r="Z161" s="27" t="str">
        <x:v>Low</x:v>
      </x:c>
      <x:c r="AA161" s="27" t="str">
        <x:v>Review before seed</x:v>
      </x:c>
      <x:c r="AB161" s="27" t="str">
        <x:v>No</x:v>
      </x:c>
      <x:c r="AC161" s="27" t="str">
        <x:v>Direct website verified from directory/source; customer ordering route requires additional account-level or site-specific verification.</x:v>
      </x:c>
    </x:row>
    <x:row r="162">
      <x:c r="A162" s="27" t="str">
        <x:v>suisan_company_limited</x:v>
      </x:c>
      <x:c r="B162" s="27" t="str">
        <x:v>Suisan Company, Limited</x:v>
      </x:c>
      <x:c r="C162" s="27" t="str"/>
      <x:c r="D162" s="27" t="str">
        <x:v>Direct foodservice distributor</x:v>
      </x:c>
      <x:c r="E162" s="27" t="str">
        <x:v>Broadline / Hawaii</x:v>
      </x:c>
      <x:c r="F162" s="27" t="str">
        <x:v>Active</x:v>
      </x:c>
      <x:c r="G162" s="27" t="str"/>
      <x:c r="H162" s="27" t="str">
        <x:v>United States</x:v>
      </x:c>
      <x:c r="I162" s="27" t="str">
        <x:v>US</x:v>
      </x:c>
      <x:c r="J162" s="27" t="str"/>
      <x:c r="K162" s="27" t="str">
        <x:v>Territory-wide</x:v>
      </x:c>
      <x:c r="L162" s="27" t="str">
        <x:v>Hawaii</x:v>
      </x:c>
      <x:c r="M162" s="27" t="str">
        <x:v>HI</x:v>
      </x:c>
      <x:c r="N162" s="27" t="str">
        <x:v>Hawaii foodservice distribution.</x:v>
      </x:c>
      <x:c r="O162" s="27" t="str">
        <x:v>https://www.suisan.com</x:v>
      </x:c>
      <x:c r="P162" s="27" t="str">
        <x:v>suisan.com</x:v>
      </x:c>
      <x:c r="Q162" s="27"/>
      <x:c r="R162" s="27" t="str"/>
      <x:c r="S162" s="27" t="str">
        <x:v>Ordering portal not publicly verified</x:v>
      </x:c>
      <x:c r="T162" s="27"/>
      <x:c r="U162" s="27" t="str">
        <x:v>No public template located in this pass</x:v>
      </x:c>
      <x:c r="V162" s="27" t="str">
        <x:v>IFDA 2026</x:v>
      </x:c>
      <x:c r="W162" s="27" t="str">
        <x:v>https://ifdaonline.org/distributor-members/</x:v>
      </x:c>
      <x:c r="X162" s="27" t="str">
        <x:v>https://www.suisan.com</x:v>
      </x:c>
      <x:c r="Y162" s="54" t="n">
        <x:v>46217</x:v>
      </x:c>
      <x:c r="Z162" s="27" t="str">
        <x:v>High</x:v>
      </x:c>
      <x:c r="AA162" s="27" t="str">
        <x:v>Approved seed</x:v>
      </x:c>
      <x:c r="AB162" s="27" t="str">
        <x:v>No</x:v>
      </x:c>
      <x:c r="AC162" s="27" t="str">
        <x:v>Direct website verified from directory/source; customer ordering route requires additional account-level or site-specific verification.</x:v>
      </x:c>
    </x:row>
    <x:row r="163">
      <x:c r="A163" s="27" t="str">
        <x:v>sutherland_s_foodservice_inc</x:v>
      </x:c>
      <x:c r="B163" s="27" t="str">
        <x:v>Sutherland's Foodservice, Inc.</x:v>
      </x:c>
      <x:c r="C163" s="27" t="str"/>
      <x:c r="D163" s="27" t="str">
        <x:v>Direct foodservice distributor</x:v>
      </x:c>
      <x:c r="E163" s="27" t="str">
        <x:v>Broadline</x:v>
      </x:c>
      <x:c r="F163" s="27" t="str">
        <x:v>Active</x:v>
      </x:c>
      <x:c r="G163" s="27" t="str"/>
      <x:c r="H163" s="27" t="str">
        <x:v>United States</x:v>
      </x:c>
      <x:c r="I163" s="27" t="str">
        <x:v>US</x:v>
      </x:c>
      <x:c r="J163" s="27" t="str"/>
      <x:c r="K163" s="27" t="str">
        <x:v>Regional</x:v>
      </x:c>
      <x:c r="L163" s="27" t="str">
        <x:v>Georgia, Tennessee, Alabama, South Carolina, North Carolina</x:v>
      </x:c>
      <x:c r="M163" s="27" t="str">
        <x:v>GA,TN,AL,SC,NC</x:v>
      </x:c>
      <x:c r="N163" s="27" t="str">
        <x:v>Georgia-centered foodservice distribution.</x:v>
      </x:c>
      <x:c r="O163" s="27" t="str">
        <x:v>https://www.suthfoodservice.com</x:v>
      </x:c>
      <x:c r="P163" s="27" t="str">
        <x:v>suthfoodservice.com</x:v>
      </x:c>
      <x:c r="Q163" s="27"/>
      <x:c r="R163" s="27" t="str"/>
      <x:c r="S163" s="27" t="str">
        <x:v>Ordering portal not publicly verified</x:v>
      </x:c>
      <x:c r="T163" s="27"/>
      <x:c r="U163" s="27" t="str">
        <x:v>No public template located in this pass</x:v>
      </x:c>
      <x:c r="V163" s="27" t="str">
        <x:v>IFDA 2026</x:v>
      </x:c>
      <x:c r="W163" s="27" t="str">
        <x:v>https://ifdaonline.org/distributor-members/</x:v>
      </x:c>
      <x:c r="X163" s="27" t="str">
        <x:v>https://www.suthfoodservice.com</x:v>
      </x:c>
      <x:c r="Y163" s="54" t="n">
        <x:v>46217</x:v>
      </x:c>
      <x:c r="Z163" s="27" t="str">
        <x:v>Low</x:v>
      </x:c>
      <x:c r="AA163" s="27" t="str">
        <x:v>Review before seed</x:v>
      </x:c>
      <x:c r="AB163" s="27" t="str">
        <x:v>No</x:v>
      </x:c>
      <x:c r="AC163" s="27" t="str">
        <x:v>Direct website verified from directory/source; customer ordering route requires additional account-level or site-specific verification.</x:v>
      </x:c>
    </x:row>
    <x:row r="164">
      <x:c r="A164" s="27" t="str">
        <x:v>sysco_corporation</x:v>
      </x:c>
      <x:c r="B164" s="27" t="str">
        <x:v>Sysco Corporation</x:v>
      </x:c>
      <x:c r="C164" s="27" t="str">
        <x:v>Sysco</x:v>
      </x:c>
      <x:c r="D164" s="27" t="str">
        <x:v>Direct foodservice distributor</x:v>
      </x:c>
      <x:c r="E164" s="27" t="str">
        <x:v>National broadline</x:v>
      </x:c>
      <x:c r="F164" s="27" t="str">
        <x:v>Active</x:v>
      </x:c>
      <x:c r="G164" s="27" t="str"/>
      <x:c r="H164" s="27" t="str">
        <x:v>United States</x:v>
      </x:c>
      <x:c r="I164" s="27" t="str">
        <x:v>US</x:v>
      </x:c>
      <x:c r="J164" s="27" t="str"/>
      <x:c r="K164" s="27" t="str">
        <x:v>National</x:v>
      </x:c>
      <x:c r="L164" s="27"/>
      <x:c r="M164" s="27"/>
      <x:c r="N164" s="27" t="str">
        <x:v>National broadline network with hundreds of facilities; local operating-company availability is ZIP-specific.</x:v>
      </x:c>
      <x:c r="O164" s="27" t="str">
        <x:v>https://www.sysco.com</x:v>
      </x:c>
      <x:c r="P164" s="27" t="str">
        <x:v>sysco.com</x:v>
      </x:c>
      <x:c r="Q164" s="27" t="str">
        <x:v>https://shop.sysco.com/auth/login</x:v>
      </x:c>
      <x:c r="R164" s="27" t="str">
        <x:v>sysco_shop</x:v>
      </x:c>
      <x:c r="S164" s="27" t="str">
        <x:v>Verified direct customer portal</x:v>
      </x:c>
      <x:c r="T164" s="27" t="str">
        <x:v>https://www.rrgconsulting.com/export-your-sysco-order-guide-from-sysco-shop.html</x:v>
      </x:c>
      <x:c r="U164" s="27" t="str">
        <x:v>CSV order-guide export instructions (third party)</x:v>
      </x:c>
      <x:c r="V164" s="27" t="str">
        <x:v>IFDA 2026</x:v>
      </x:c>
      <x:c r="W164" s="27" t="str">
        <x:v>https://sysco.com/en-us/shopmobile</x:v>
      </x:c>
      <x:c r="X164" s="27" t="str">
        <x:v>https://www.sysco.com/Contact/Contact/Our-Locations</x:v>
      </x:c>
      <x:c r="Y164" s="54" t="n">
        <x:v>46217</x:v>
      </x:c>
      <x:c r="Z164" s="27" t="str">
        <x:v>High</x:v>
      </x:c>
      <x:c r="AA164" s="27" t="str">
        <x:v>Approved seed</x:v>
      </x:c>
      <x:c r="AB164" s="27" t="str">
        <x:v>No</x:v>
      </x:c>
      <x:c r="AC164" s="27" t="str">
        <x:v>Sysco Shop supports custom lists/order guides. Public documentation found for exporting, not a vendor-hosted blank upload template.</x:v>
      </x:c>
    </x:row>
    <x:row r="165">
      <x:c r="A165" s="27" t="str">
        <x:v>tankersley_foodservice_llc</x:v>
      </x:c>
      <x:c r="B165" s="27" t="str">
        <x:v>Tankersley Foodservice LLC</x:v>
      </x:c>
      <x:c r="C165" s="27" t="str"/>
      <x:c r="D165" s="27" t="str">
        <x:v>Direct foodservice distributor</x:v>
      </x:c>
      <x:c r="E165" s="27" t="str">
        <x:v>Broadline</x:v>
      </x:c>
      <x:c r="F165" s="27" t="str">
        <x:v>Active</x:v>
      </x:c>
      <x:c r="G165" s="27" t="str"/>
      <x:c r="H165" s="27" t="str">
        <x:v>United States</x:v>
      </x:c>
      <x:c r="I165" s="27" t="str">
        <x:v>US</x:v>
      </x:c>
      <x:c r="J165" s="27" t="str"/>
      <x:c r="K165" s="27" t="str">
        <x:v>Regional</x:v>
      </x:c>
      <x:c r="L165" s="27" t="str">
        <x:v>Arkansas, Oklahoma, Texas, Missouri</x:v>
      </x:c>
      <x:c r="M165" s="27" t="str">
        <x:v>AR,OK,TX,MO</x:v>
      </x:c>
      <x:c r="N165" s="27" t="str">
        <x:v>Fort Smith-centered regional distribution.</x:v>
      </x:c>
      <x:c r="O165" s="27" t="str">
        <x:v>https://www.tankersleyfoods.com</x:v>
      </x:c>
      <x:c r="P165" s="27" t="str">
        <x:v>tankersleyfoods.com</x:v>
      </x:c>
      <x:c r="Q165" s="27"/>
      <x:c r="R165" s="27" t="str"/>
      <x:c r="S165" s="27" t="str">
        <x:v>Ordering portal not publicly verified</x:v>
      </x:c>
      <x:c r="T165" s="27"/>
      <x:c r="U165" s="27" t="str">
        <x:v>No public template located in this pass</x:v>
      </x:c>
      <x:c r="V165" s="27" t="str">
        <x:v>IFDA 2026</x:v>
      </x:c>
      <x:c r="W165" s="27" t="str">
        <x:v>https://ifdaonline.org/distributor-members/</x:v>
      </x:c>
      <x:c r="X165" s="27" t="str">
        <x:v>https://www.tankersleyfoods.com</x:v>
      </x:c>
      <x:c r="Y165" s="54" t="n">
        <x:v>46217</x:v>
      </x:c>
      <x:c r="Z165" s="27" t="str">
        <x:v>Low</x:v>
      </x:c>
      <x:c r="AA165" s="27" t="str">
        <x:v>Review before seed</x:v>
      </x:c>
      <x:c r="AB165" s="27" t="str">
        <x:v>No</x:v>
      </x:c>
      <x:c r="AC165" s="27" t="str">
        <x:v>Direct website verified from directory/source; customer ordering route requires additional account-level or site-specific verification.</x:v>
      </x:c>
    </x:row>
    <x:row r="166">
      <x:c r="A166" s="27" t="str">
        <x:v>team_sledd</x:v>
      </x:c>
      <x:c r="B166" s="27" t="str">
        <x:v>Team Sledd</x:v>
      </x:c>
      <x:c r="C166" s="27" t="str"/>
      <x:c r="D166" s="27" t="str">
        <x:v>Direct foodservice distributor</x:v>
      </x:c>
      <x:c r="E166" s="27" t="str">
        <x:v>Convenience / foodservice</x:v>
      </x:c>
      <x:c r="F166" s="27" t="str">
        <x:v>Active</x:v>
      </x:c>
      <x:c r="G166" s="27" t="str"/>
      <x:c r="H166" s="27" t="str">
        <x:v>United States</x:v>
      </x:c>
      <x:c r="I166" s="27" t="str">
        <x:v>US</x:v>
      </x:c>
      <x:c r="J166" s="27" t="str"/>
      <x:c r="K166" s="27" t="str">
        <x:v>Regional</x:v>
      </x:c>
      <x:c r="L166" s="27" t="str">
        <x:v>West Virginia, Virginia, Ohio, Kentucky, Pennsylvania</x:v>
      </x:c>
      <x:c r="M166" s="27" t="str">
        <x:v>WV,VA,OH,KY,PA</x:v>
      </x:c>
      <x:c r="N166" s="27" t="str">
        <x:v>West Virginia-centered convenience and foodservice distribution.</x:v>
      </x:c>
      <x:c r="O166" s="27" t="str">
        <x:v>https://www.sleddco.com</x:v>
      </x:c>
      <x:c r="P166" s="27" t="str">
        <x:v>sleddco.com</x:v>
      </x:c>
      <x:c r="Q166" s="27"/>
      <x:c r="R166" s="27" t="str"/>
      <x:c r="S166" s="27" t="str">
        <x:v>Ordering portal not publicly verified</x:v>
      </x:c>
      <x:c r="T166" s="27"/>
      <x:c r="U166" s="27" t="str">
        <x:v>No public template located in this pass</x:v>
      </x:c>
      <x:c r="V166" s="27" t="str">
        <x:v>IFDA 2026</x:v>
      </x:c>
      <x:c r="W166" s="27" t="str">
        <x:v>https://ifdaonline.org/distributor-members/</x:v>
      </x:c>
      <x:c r="X166" s="27" t="str">
        <x:v>https://www.sleddco.com</x:v>
      </x:c>
      <x:c r="Y166" s="54" t="n">
        <x:v>46217</x:v>
      </x:c>
      <x:c r="Z166" s="27" t="str">
        <x:v>Low</x:v>
      </x:c>
      <x:c r="AA166" s="27" t="str">
        <x:v>Review before seed</x:v>
      </x:c>
      <x:c r="AB166" s="27" t="str">
        <x:v>No</x:v>
      </x:c>
      <x:c r="AC166" s="27" t="str">
        <x:v>Direct website verified from directory/source; customer ordering route requires additional account-level or site-specific verification.</x:v>
      </x:c>
    </x:row>
    <x:row r="167">
      <x:c r="A167" s="27" t="str">
        <x:v>the_chefs_warehouse</x:v>
      </x:c>
      <x:c r="B167" s="27" t="str">
        <x:v>The Chefs' Warehouse</x:v>
      </x:c>
      <x:c r="C167" s="27" t="str">
        <x:v>Chefs Warehouse | CW</x:v>
      </x:c>
      <x:c r="D167" s="27" t="str">
        <x:v>Direct foodservice distributor</x:v>
      </x:c>
      <x:c r="E167" s="27" t="str">
        <x:v>Specialty broadline</x:v>
      </x:c>
      <x:c r="F167" s="27" t="str">
        <x:v>Active</x:v>
      </x:c>
      <x:c r="G167" s="27" t="str"/>
      <x:c r="H167" s="27" t="str">
        <x:v>United States</x:v>
      </x:c>
      <x:c r="I167" s="27" t="str">
        <x:v>US</x:v>
      </x:c>
      <x:c r="J167" s="27" t="str"/>
      <x:c r="K167" s="27" t="str">
        <x:v>Multi-regional</x:v>
      </x:c>
      <x:c r="L167" s="27" t="str">
        <x:v>California, Florida, Georgia, Illinois, Massachusetts, Maryland, Nevada, New Jersey, New York, Ohio, Pennsylvania, Texas, Washington, District of Columbia</x:v>
      </x:c>
      <x:c r="M167" s="27" t="str">
        <x:v>CA,FL,GA,IL,MA,MD,NV,NJ,NY,OH,PA,TX,WA,DC</x:v>
      </x:c>
      <x:c r="N167" s="27" t="str">
        <x:v>Selective metropolitan markets rather than blanket statewide coverage.</x:v>
      </x:c>
      <x:c r="O167" s="27" t="str">
        <x:v>https://www.chefswarehouse.com</x:v>
      </x:c>
      <x:c r="P167" s="27" t="str">
        <x:v>chefswarehouse.com</x:v>
      </x:c>
      <x:c r="Q167" s="27" t="str">
        <x:v>https://www.chefswarehouse.com/login/</x:v>
      </x:c>
      <x:c r="R167" s="27" t="str">
        <x:v>chefs_warehouse_portal</x:v>
      </x:c>
      <x:c r="S167" s="27" t="str">
        <x:v>Verified direct customer portal</x:v>
      </x:c>
      <x:c r="T167" s="27"/>
      <x:c r="U167" s="27" t="str">
        <x:v>No public template found</x:v>
      </x:c>
      <x:c r="V167" s="27" t="str">
        <x:v>IFDA 2026</x:v>
      </x:c>
      <x:c r="W167" s="27" t="str">
        <x:v>https://www.chefswarehouse.com/login/</x:v>
      </x:c>
      <x:c r="X167" s="27" t="str">
        <x:v>https://www.chefswarehouse.com/regions/</x:v>
      </x:c>
      <x:c r="Y167" s="54" t="n">
        <x:v>46217</x:v>
      </x:c>
      <x:c r="Z167" s="27" t="str">
        <x:v>Medium</x:v>
      </x:c>
      <x:c r="AA167" s="27" t="str">
        <x:v>Approved seed</x:v>
      </x:c>
      <x:c r="AB167" s="27" t="str">
        <x:v>No</x:v>
      </x:c>
      <x:c r="AC167" s="27" t="str">
        <x:v>Portal/app supports order guides and online ordering.</x:v>
      </x:c>
    </x:row>
    <x:row r="168">
      <x:c r="A168" s="27" t="str">
        <x:v>thompson_and_sons</x:v>
      </x:c>
      <x:c r="B168" s="27" t="str">
        <x:v>Thompson &amp; Sons</x:v>
      </x:c>
      <x:c r="C168" s="27" t="str">
        <x:v>Thompson's Food Service</x:v>
      </x:c>
      <x:c r="D168" s="27" t="str">
        <x:v>Direct foodservice distributor</x:v>
      </x:c>
      <x:c r="E168" s="27" t="str">
        <x:v>Broadline foodservice</x:v>
      </x:c>
      <x:c r="F168" s="27" t="str">
        <x:v>Active</x:v>
      </x:c>
      <x:c r="G168" s="27" t="str"/>
      <x:c r="H168" s="27" t="str">
        <x:v>United States</x:v>
      </x:c>
      <x:c r="I168" s="27" t="str">
        <x:v>US</x:v>
      </x:c>
      <x:c r="J168" s="27" t="str">
        <x:v>United States</x:v>
      </x:c>
      <x:c r="K168" s="27" t="str">
        <x:v>Regional / unverified</x:v>
      </x:c>
      <x:c r="L168" s="27" t="str"/>
      <x:c r="M168" s="27" t="str"/>
      <x:c r="N168" s="27" t="str">
        <x:v>Fourth-generation distributor operating since 1929; exact territory requires verification.</x:v>
      </x:c>
      <x:c r="O168" s="27" t="str"/>
      <x:c r="P168" s="27" t="str"/>
      <x:c r="Q168" s="27" t="str"/>
      <x:c r="R168" s="27" t="str"/>
      <x:c r="S168" s="27" t="str">
        <x:v>Ordering portal not publicly verified</x:v>
      </x:c>
      <x:c r="T168" s="27" t="str"/>
      <x:c r="U168" s="27" t="str">
        <x:v>No public template located</x:v>
      </x:c>
      <x:c r="V168" s="27" t="str">
        <x:v>Frosty Acres 2025–2026 member</x:v>
      </x:c>
      <x:c r="W168" s="27" t="str">
        <x:v>https://www.frostyacres.com/news/4a85a539-f05b-4973-b09f-dff8b7ba4a60</x:v>
      </x:c>
      <x:c r="X168" s="27" t="str">
        <x:v>https://www.frostyacres.com/news/4a85a539-f05b-4973-b09f-dff8b7ba4a60</x:v>
      </x:c>
      <x:c r="Y168" s="54" t="n">
        <x:v>46217</x:v>
      </x:c>
      <x:c r="Z168" s="27" t="str">
        <x:v>Low</x:v>
      </x:c>
      <x:c r="AA168" s="27" t="str">
        <x:v>Review before seed</x:v>
      </x:c>
      <x:c r="AB168" s="27" t="str">
        <x:v>Yes</x:v>
      </x:c>
      <x:c r="AC168" s="27" t="str"/>
    </x:row>
    <x:row r="169">
      <x:c r="A169" s="27" t="str">
        <x:v>thurston_foods_inc</x:v>
      </x:c>
      <x:c r="B169" s="27" t="str">
        <x:v>Thurston Foods, Inc.</x:v>
      </x:c>
      <x:c r="C169" s="27" t="str"/>
      <x:c r="D169" s="27" t="str">
        <x:v>Direct foodservice distributor</x:v>
      </x:c>
      <x:c r="E169" s="27" t="str">
        <x:v>Broadline</x:v>
      </x:c>
      <x:c r="F169" s="27" t="str">
        <x:v>Active</x:v>
      </x:c>
      <x:c r="G169" s="27" t="str"/>
      <x:c r="H169" s="27" t="str">
        <x:v>United States</x:v>
      </x:c>
      <x:c r="I169" s="27" t="str">
        <x:v>US</x:v>
      </x:c>
      <x:c r="J169" s="27" t="str"/>
      <x:c r="K169" s="27" t="str">
        <x:v>Regional</x:v>
      </x:c>
      <x:c r="L169" s="27" t="str">
        <x:v>Connecticut, Massachusetts, New York, Rhode Island</x:v>
      </x:c>
      <x:c r="M169" s="27" t="str">
        <x:v>CT,MA,NY,RI</x:v>
      </x:c>
      <x:c r="N169" s="27" t="str">
        <x:v>Connecticut-centered regional foodservice distribution.</x:v>
      </x:c>
      <x:c r="O169" s="27" t="str">
        <x:v>https://www.thurstonfoods.com</x:v>
      </x:c>
      <x:c r="P169" s="27" t="str">
        <x:v>thurstonfoods.com</x:v>
      </x:c>
      <x:c r="Q169" s="27"/>
      <x:c r="R169" s="27" t="str"/>
      <x:c r="S169" s="27" t="str">
        <x:v>Ordering portal not publicly verified</x:v>
      </x:c>
      <x:c r="T169" s="27"/>
      <x:c r="U169" s="27" t="str">
        <x:v>No public template located in this pass</x:v>
      </x:c>
      <x:c r="V169" s="27" t="str">
        <x:v>IFDA 2026</x:v>
      </x:c>
      <x:c r="W169" s="27" t="str">
        <x:v>https://ifdaonline.org/distributor-members/</x:v>
      </x:c>
      <x:c r="X169" s="27" t="str">
        <x:v>https://www.thurstonfoods.com</x:v>
      </x:c>
      <x:c r="Y169" s="54" t="n">
        <x:v>46217</x:v>
      </x:c>
      <x:c r="Z169" s="27" t="str">
        <x:v>Low</x:v>
      </x:c>
      <x:c r="AA169" s="27" t="str">
        <x:v>Review before seed</x:v>
      </x:c>
      <x:c r="AB169" s="27" t="str">
        <x:v>No</x:v>
      </x:c>
      <x:c r="AC169" s="27" t="str">
        <x:v>Direct website verified from directory/source; customer ordering route requires additional account-level or site-specific verification.</x:v>
      </x:c>
    </x:row>
    <x:row r="170">
      <x:c r="A170" s="27" t="str">
        <x:v>tri_mart_company</x:v>
      </x:c>
      <x:c r="B170" s="27" t="str">
        <x:v>Tri-Mart Company</x:v>
      </x:c>
      <x:c r="C170" s="27" t="str">
        <x:v>Midwest Food &amp; Tobacco Group</x:v>
      </x:c>
      <x:c r="D170" s="27" t="str">
        <x:v>Direct foodservice distributor</x:v>
      </x:c>
      <x:c r="E170" s="27" t="str">
        <x:v>Convenience and foodservice wholesale</x:v>
      </x:c>
      <x:c r="F170" s="27" t="str">
        <x:v>Active</x:v>
      </x:c>
      <x:c r="G170" s="27" t="str"/>
      <x:c r="H170" s="27" t="str">
        <x:v>United States</x:v>
      </x:c>
      <x:c r="I170" s="27" t="str">
        <x:v>US</x:v>
      </x:c>
      <x:c r="J170" s="27" t="str">
        <x:v>Wisconsin / Minnesota</x:v>
      </x:c>
      <x:c r="K170" s="27" t="str">
        <x:v>Regional</x:v>
      </x:c>
      <x:c r="L170" s="27" t="str">
        <x:v>Wisconsin, Minnesota</x:v>
      </x:c>
      <x:c r="M170" s="27" t="str">
        <x:v>WI,MN</x:v>
      </x:c>
      <x:c r="N170" s="27" t="str">
        <x:v>Wisconsin and Minnesota.</x:v>
      </x:c>
      <x:c r="O170" s="27" t="str"/>
      <x:c r="P170" s="27" t="str"/>
      <x:c r="Q170" s="27" t="str"/>
      <x:c r="R170" s="27" t="str"/>
      <x:c r="S170" s="27" t="str">
        <x:v>Ordering portal not publicly verified</x:v>
      </x:c>
      <x:c r="T170" s="27" t="str"/>
      <x:c r="U170" s="27" t="str">
        <x:v>No public template located</x:v>
      </x:c>
      <x:c r="V170" s="27" t="str">
        <x:v>Golbon current/recent member</x:v>
      </x:c>
      <x:c r="W170" s="27" t="str">
        <x:v>https://golbon.com/press/golbon-welcomes-new-member-tri-mart-company/</x:v>
      </x:c>
      <x:c r="X170" s="27" t="str">
        <x:v>https://golbon.com/press/golbon-welcomes-new-member-tri-mart-company/</x:v>
      </x:c>
      <x:c r="Y170" s="54" t="n">
        <x:v>46217</x:v>
      </x:c>
      <x:c r="Z170" s="27" t="str">
        <x:v>Medium</x:v>
      </x:c>
      <x:c r="AA170" s="27" t="str">
        <x:v>Review before seed</x:v>
      </x:c>
      <x:c r="AB170" s="27" t="str">
        <x:v>Yes</x:v>
      </x:c>
      <x:c r="AC170" s="27" t="str"/>
    </x:row>
    <x:row r="171">
      <x:c r="A171" s="27" t="str">
        <x:v>unfi</x:v>
      </x:c>
      <x:c r="B171" s="27" t="str">
        <x:v>UNFI</x:v>
      </x:c>
      <x:c r="C171" s="27" t="str"/>
      <x:c r="D171" s="27" t="str">
        <x:v>Direct foodservice distributor</x:v>
      </x:c>
      <x:c r="E171" s="27" t="str">
        <x:v>Natural / grocery distribution</x:v>
      </x:c>
      <x:c r="F171" s="27" t="str">
        <x:v>Active</x:v>
      </x:c>
      <x:c r="G171" s="27" t="str"/>
      <x:c r="H171" s="27" t="str">
        <x:v>United States</x:v>
      </x:c>
      <x:c r="I171" s="27" t="str">
        <x:v>US</x:v>
      </x:c>
      <x:c r="J171" s="27" t="str"/>
      <x:c r="K171" s="27" t="str">
        <x:v>National</x:v>
      </x:c>
      <x:c r="L171" s="27"/>
      <x:c r="M171" s="27"/>
      <x:c r="N171" s="27" t="str">
        <x:v>National grocery, natural and specialty distribution network.</x:v>
      </x:c>
      <x:c r="O171" s="27" t="str">
        <x:v>https://www.unfi.com</x:v>
      </x:c>
      <x:c r="P171" s="27" t="str">
        <x:v>unfi.com</x:v>
      </x:c>
      <x:c r="Q171" s="27"/>
      <x:c r="R171" s="27" t="str"/>
      <x:c r="S171" s="27" t="str">
        <x:v>Ordering portal not publicly verified</x:v>
      </x:c>
      <x:c r="T171" s="27"/>
      <x:c r="U171" s="27" t="str">
        <x:v>No public template located in this pass</x:v>
      </x:c>
      <x:c r="V171" s="27" t="str">
        <x:v>Supplemental research</x:v>
      </x:c>
      <x:c r="W171" s="27" t="str">
        <x:v>https://www.unfi.com</x:v>
      </x:c>
      <x:c r="X171" s="27" t="str">
        <x:v>https://www.unfi.com/locations</x:v>
      </x:c>
      <x:c r="Y171" s="54" t="n">
        <x:v>46217</x:v>
      </x:c>
      <x:c r="Z171" s="27" t="str">
        <x:v>High</x:v>
      </x:c>
      <x:c r="AA171" s="27" t="str">
        <x:v>Approved seed</x:v>
      </x:c>
      <x:c r="AB171" s="27" t="str">
        <x:v>No</x:v>
      </x:c>
      <x:c r="AC171" s="27" t="str">
        <x:v>Direct website verified from directory/source; customer ordering route requires additional account-level or site-specific verification.</x:v>
      </x:c>
    </x:row>
    <x:row r="172">
      <x:c r="A172" s="27" t="str">
        <x:v>unipro_foodservice_inc</x:v>
      </x:c>
      <x:c r="B172" s="27" t="str">
        <x:v>UniPro Foodservice, Inc.</x:v>
      </x:c>
      <x:c r="C172" s="27" t="str"/>
      <x:c r="D172" s="27" t="str">
        <x:v>Distributor network / cooperative</x:v>
      </x:c>
      <x:c r="E172" s="27" t="str">
        <x:v>Distributor cooperative</x:v>
      </x:c>
      <x:c r="F172" s="27" t="str">
        <x:v>Active</x:v>
      </x:c>
      <x:c r="G172" s="27" t="str"/>
      <x:c r="H172" s="27" t="str">
        <x:v>United States</x:v>
      </x:c>
      <x:c r="I172" s="27" t="str">
        <x:v>US</x:v>
      </x:c>
      <x:c r="J172" s="27" t="str"/>
      <x:c r="K172" s="27" t="str">
        <x:v>Distributor network</x:v>
      </x:c>
      <x:c r="L172" s="27"/>
      <x:c r="M172" s="27"/>
      <x:c r="N172" s="27" t="str">
        <x:v>National independent-distributor cooperative with hundreds of member headquarters and more than one thousand locations.</x:v>
      </x:c>
      <x:c r="O172" s="27" t="str">
        <x:v>https://www.uniprofoodservice.com</x:v>
      </x:c>
      <x:c r="P172" s="27" t="str">
        <x:v>uniprofoodservice.com</x:v>
      </x:c>
      <x:c r="Q172" s="27"/>
      <x:c r="R172" s="27" t="str"/>
      <x:c r="S172" s="27" t="str">
        <x:v>Network/cooperative — not an operator ordering portal</x:v>
      </x:c>
      <x:c r="T172" s="27"/>
      <x:c r="U172" s="27" t="str">
        <x:v>No public template located in this pass</x:v>
      </x:c>
      <x:c r="V172" s="27" t="str">
        <x:v>IFDA 2026</x:v>
      </x:c>
      <x:c r="W172" s="27" t="str">
        <x:v>https://ifdaonline.org/distributor-members/</x:v>
      </x:c>
      <x:c r="X172" s="27" t="str">
        <x:v>https://www.uniprofoodservice.com/distributors/directory</x:v>
      </x:c>
      <x:c r="Y172" s="54" t="n">
        <x:v>46217</x:v>
      </x:c>
      <x:c r="Z172" s="27" t="str">
        <x:v>High</x:v>
      </x:c>
      <x:c r="AA172" s="27" t="str">
        <x:v>Reference only</x:v>
      </x:c>
      <x:c r="AB172" s="27" t="str">
        <x:v>No</x:v>
      </x:c>
      <x:c r="AC172" s="27" t="str">
        <x:v>Direct website verified from directory/source; customer ordering route requires additional account-level or site-specific verification.</x:v>
      </x:c>
    </x:row>
    <x:row r="173">
      <x:c r="A173" s="27" t="str">
        <x:v>upper_lakes_foods_inc</x:v>
      </x:c>
      <x:c r="B173" s="27" t="str">
        <x:v>Upper Lakes Foods Inc.</x:v>
      </x:c>
      <x:c r="C173" s="27" t="str"/>
      <x:c r="D173" s="27" t="str">
        <x:v>Direct foodservice distributor</x:v>
      </x:c>
      <x:c r="E173" s="27" t="str">
        <x:v>Broadline</x:v>
      </x:c>
      <x:c r="F173" s="27" t="str">
        <x:v>Active</x:v>
      </x:c>
      <x:c r="G173" s="27" t="str"/>
      <x:c r="H173" s="27" t="str">
        <x:v>United States</x:v>
      </x:c>
      <x:c r="I173" s="27" t="str">
        <x:v>US</x:v>
      </x:c>
      <x:c r="J173" s="27" t="str"/>
      <x:c r="K173" s="27" t="str">
        <x:v>Multi-regional</x:v>
      </x:c>
      <x:c r="L173" s="27" t="str">
        <x:v>Minnesota, Wisconsin, North Dakota, South Dakota, Iowa, Illinois, Michigan</x:v>
      </x:c>
      <x:c r="M173" s="27" t="str">
        <x:v>MN,WI,ND,SD,IA,IL,MI</x:v>
      </x:c>
      <x:c r="N173" s="27" t="str">
        <x:v>Published service across Minnesota, Wisconsin, North Dakota, South Dakota, Iowa, Illinois and Michigan's Upper Peninsula.</x:v>
      </x:c>
      <x:c r="O173" s="27" t="str">
        <x:v>https://www.upperlakesfoods.com</x:v>
      </x:c>
      <x:c r="P173" s="27" t="str">
        <x:v>upperlakesfoods.com</x:v>
      </x:c>
      <x:c r="Q173" s="27" t="str">
        <x:v>https://ulfweb.com/</x:v>
      </x:c>
      <x:c r="R173" s="27" t="str">
        <x:v>megabite</x:v>
      </x:c>
      <x:c r="S173" s="27" t="str">
        <x:v>Verified direct customer portal (MegaBite)</x:v>
      </x:c>
      <x:c r="T173" s="27"/>
      <x:c r="U173" s="27" t="str">
        <x:v>No public template found</x:v>
      </x:c>
      <x:c r="V173" s="27" t="str">
        <x:v>IFDA 2026</x:v>
      </x:c>
      <x:c r="W173" s="27" t="str">
        <x:v>https://upperlakesfoods.com/order/</x:v>
      </x:c>
      <x:c r="X173" s="27" t="str">
        <x:v>https://upperlakesfoods.com/about/facilities-territory/</x:v>
      </x:c>
      <x:c r="Y173" s="54" t="n">
        <x:v>46217</x:v>
      </x:c>
      <x:c r="Z173" s="27" t="str">
        <x:v>High</x:v>
      </x:c>
      <x:c r="AA173" s="27" t="str">
        <x:v>Approved seed</x:v>
      </x:c>
      <x:c r="AB173" s="27" t="str">
        <x:v>No</x:v>
      </x:c>
      <x:c r="AC173" s="27" t="str">
        <x:v>Upper Lakes also promotes a newer Pepper-powered ordering experience.</x:v>
      </x:c>
    </x:row>
    <x:row r="174">
      <x:c r="A174" s="27" t="str">
        <x:v>us_foods</x:v>
      </x:c>
      <x:c r="B174" s="27" t="str">
        <x:v>US Foods</x:v>
      </x:c>
      <x:c r="C174" s="27" t="str">
        <x:v>USF | U.S. Foods</x:v>
      </x:c>
      <x:c r="D174" s="27" t="str">
        <x:v>Direct foodservice distributor</x:v>
      </x:c>
      <x:c r="E174" s="27" t="str">
        <x:v>National broadline</x:v>
      </x:c>
      <x:c r="F174" s="27" t="str">
        <x:v>Active</x:v>
      </x:c>
      <x:c r="G174" s="27" t="str"/>
      <x:c r="H174" s="27" t="str">
        <x:v>United States</x:v>
      </x:c>
      <x:c r="I174" s="27" t="str">
        <x:v>US</x:v>
      </x:c>
      <x:c r="J174" s="27" t="str"/>
      <x:c r="K174" s="27" t="str">
        <x:v>National</x:v>
      </x:c>
      <x:c r="L174" s="27"/>
      <x:c r="M174" s="27"/>
      <x:c r="N174" s="27" t="str">
        <x:v>National broadline distributor with local distribution-center and route availability.</x:v>
      </x:c>
      <x:c r="O174" s="27" t="str">
        <x:v>https://www.usfoods.com</x:v>
      </x:c>
      <x:c r="P174" s="27" t="str">
        <x:v>usfoods.com</x:v>
      </x:c>
      <x:c r="Q174" s="27" t="str">
        <x:v>https://www.usfoods.com/how-we-help-you/easy-ordering</x:v>
      </x:c>
      <x:c r="R174" s="27" t="str">
        <x:v>us_foods_moxe</x:v>
      </x:c>
      <x:c r="S174" s="27" t="str">
        <x:v>Verified ordering platform landing page (MOXē)</x:v>
      </x:c>
      <x:c r="T174" s="27" t="str">
        <x:v>https://www.usfoods.com/content/dam/usf/pdf/E-Commerce/moxe/us-foods-online-import-orders-users-manual.pdf</x:v>
      </x:c>
      <x:c r="U174" s="27" t="str">
        <x:v>Official CSV import-order instructions/template workflow</x:v>
      </x:c>
      <x:c r="V174" s="27" t="str">
        <x:v>IFDA 2026</x:v>
      </x:c>
      <x:c r="W174" s="27" t="str">
        <x:v>https://www.usfoods.com/how-we-help-you/easy-ordering</x:v>
      </x:c>
      <x:c r="X174" s="27" t="str">
        <x:v>https://www.usfoods.com/about-us-foods/locations.html</x:v>
      </x:c>
      <x:c r="Y174" s="54" t="n">
        <x:v>46217</x:v>
      </x:c>
      <x:c r="Z174" s="27" t="str">
        <x:v>High</x:v>
      </x:c>
      <x:c r="AA174" s="27" t="str">
        <x:v>Approved seed</x:v>
      </x:c>
      <x:c r="AB174" s="27" t="str">
        <x:v>No</x:v>
      </x:c>
      <x:c r="AC174" s="27" t="str">
        <x:v>Official documentation describes creating and uploading CSV orders; customer credentials are required.</x:v>
      </x:c>
    </x:row>
    <x:row r="175">
      <x:c r="A175" s="27" t="str">
        <x:v>van_eerden_foodservice</x:v>
      </x:c>
      <x:c r="B175" s="27" t="str">
        <x:v>Van Eerden Foodservice</x:v>
      </x:c>
      <x:c r="C175" s="27" t="str"/>
      <x:c r="D175" s="27" t="str">
        <x:v>Direct foodservice distributor</x:v>
      </x:c>
      <x:c r="E175" s="27" t="str">
        <x:v>Broadline</x:v>
      </x:c>
      <x:c r="F175" s="27" t="str">
        <x:v>Active</x:v>
      </x:c>
      <x:c r="G175" s="27" t="str"/>
      <x:c r="H175" s="27" t="str">
        <x:v>United States</x:v>
      </x:c>
      <x:c r="I175" s="27" t="str">
        <x:v>US</x:v>
      </x:c>
      <x:c r="J175" s="27" t="str"/>
      <x:c r="K175" s="27" t="str">
        <x:v>Regional</x:v>
      </x:c>
      <x:c r="L175" s="27" t="str">
        <x:v>Michigan, Indiana</x:v>
      </x:c>
      <x:c r="M175" s="27" t="str">
        <x:v>MI,IN</x:v>
      </x:c>
      <x:c r="N175" s="27" t="str">
        <x:v>Michigan-centered distribution with a Fort Wayne, Indiana facility opened in 2025.</x:v>
      </x:c>
      <x:c r="O175" s="27" t="str">
        <x:v>https://www.vaneerden.com</x:v>
      </x:c>
      <x:c r="P175" s="27" t="str">
        <x:v>vaneerden.com</x:v>
      </x:c>
      <x:c r="Q175" s="27" t="str">
        <x:v>https://customer.vaneerden.com/</x:v>
      </x:c>
      <x:c r="R175" s="27" t="str">
        <x:v>van_eerden_portal</x:v>
      </x:c>
      <x:c r="S175" s="27" t="str">
        <x:v>Verified direct customer portal</x:v>
      </x:c>
      <x:c r="T175" s="27"/>
      <x:c r="U175" s="27" t="str">
        <x:v>No public template found</x:v>
      </x:c>
      <x:c r="V175" s="27" t="str">
        <x:v>IFDA 2026</x:v>
      </x:c>
      <x:c r="W175" s="27" t="str">
        <x:v>https://www.vaneerden.com/fresh-solutions/</x:v>
      </x:c>
      <x:c r="X175" s="27" t="str">
        <x:v>https://www.vaneerden.com/our-story/</x:v>
      </x:c>
      <x:c r="Y175" s="54" t="n">
        <x:v>46217</x:v>
      </x:c>
      <x:c r="Z175" s="27" t="str">
        <x:v>High</x:v>
      </x:c>
      <x:c r="AA175" s="27" t="str">
        <x:v>Approved seed</x:v>
      </x:c>
      <x:c r="AB175" s="27" t="str">
        <x:v>No</x:v>
      </x:c>
      <x:c r="AC175" s="27" t="str">
        <x:v>Portal includes custom order guides, PAR levels, history and promotions.</x:v>
      </x:c>
    </x:row>
    <x:row r="176">
      <x:c r="A176" s="27" t="str">
        <x:v>vip_foodservice</x:v>
      </x:c>
      <x:c r="B176" s="27" t="str">
        <x:v>VIP Foodservice</x:v>
      </x:c>
      <x:c r="C176" s="27" t="str"/>
      <x:c r="D176" s="27" t="str">
        <x:v>Direct foodservice distributor</x:v>
      </x:c>
      <x:c r="E176" s="27" t="str">
        <x:v>Broadline</x:v>
      </x:c>
      <x:c r="F176" s="27" t="str">
        <x:v>Active</x:v>
      </x:c>
      <x:c r="G176" s="27" t="str"/>
      <x:c r="H176" s="27" t="str">
        <x:v>United States</x:v>
      </x:c>
      <x:c r="I176" s="27" t="str">
        <x:v>US</x:v>
      </x:c>
      <x:c r="J176" s="27" t="str"/>
      <x:c r="K176" s="27" t="str">
        <x:v>Regional</x:v>
      </x:c>
      <x:c r="L176" s="27" t="str">
        <x:v>California, Nevada, Arizona</x:v>
      </x:c>
      <x:c r="M176" s="27" t="str">
        <x:v>CA,NV,AZ</x:v>
      </x:c>
      <x:c r="N176" s="27" t="str">
        <x:v>Southern California-centered foodservice distribution.</x:v>
      </x:c>
      <x:c r="O176" s="27" t="str">
        <x:v>https://www.vipfoodservice.com</x:v>
      </x:c>
      <x:c r="P176" s="27" t="str">
        <x:v>vipfoodservice.com</x:v>
      </x:c>
      <x:c r="Q176" s="27"/>
      <x:c r="R176" s="27" t="str"/>
      <x:c r="S176" s="27" t="str">
        <x:v>Ordering portal not publicly verified</x:v>
      </x:c>
      <x:c r="T176" s="27"/>
      <x:c r="U176" s="27" t="str">
        <x:v>No public template located in this pass</x:v>
      </x:c>
      <x:c r="V176" s="27" t="str">
        <x:v>IFDA 2026</x:v>
      </x:c>
      <x:c r="W176" s="27" t="str">
        <x:v>https://ifdaonline.org/distributor-members/</x:v>
      </x:c>
      <x:c r="X176" s="27" t="str">
        <x:v>https://www.vipfoodservice.com</x:v>
      </x:c>
      <x:c r="Y176" s="54" t="n">
        <x:v>46217</x:v>
      </x:c>
      <x:c r="Z176" s="27" t="str">
        <x:v>Low</x:v>
      </x:c>
      <x:c r="AA176" s="27" t="str">
        <x:v>Review before seed</x:v>
      </x:c>
      <x:c r="AB176" s="27" t="str">
        <x:v>No</x:v>
      </x:c>
      <x:c r="AC176" s="27" t="str">
        <x:v>Direct website verified from directory/source; customer ordering route requires additional account-level or site-specific verification.</x:v>
      </x:c>
    </x:row>
    <x:row r="177">
      <x:c r="A177" s="27" t="str">
        <x:v>vistar</x:v>
      </x:c>
      <x:c r="B177" s="27" t="str">
        <x:v>Vistar</x:v>
      </x:c>
      <x:c r="C177" s="27" t="str"/>
      <x:c r="D177" s="27" t="str">
        <x:v>Direct foodservice distributor</x:v>
      </x:c>
      <x:c r="E177" s="27" t="str">
        <x:v>Vending / concessions / PFG</x:v>
      </x:c>
      <x:c r="F177" s="27" t="str">
        <x:v>Active subsidiary / operating brand</x:v>
      </x:c>
      <x:c r="G177" s="27" t="str">
        <x:v>Performance Food Group</x:v>
      </x:c>
      <x:c r="H177" s="27" t="str">
        <x:v>United States</x:v>
      </x:c>
      <x:c r="I177" s="27" t="str">
        <x:v>US</x:v>
      </x:c>
      <x:c r="J177" s="27" t="str"/>
      <x:c r="K177" s="27" t="str">
        <x:v>National</x:v>
      </x:c>
      <x:c r="L177" s="27"/>
      <x:c r="M177" s="27"/>
      <x:c r="N177" s="27" t="str">
        <x:v>National vending, concessions and away-from-home distribution; company reports all 50 states.</x:v>
      </x:c>
      <x:c r="O177" s="27" t="str">
        <x:v>https://www.vistar.com</x:v>
      </x:c>
      <x:c r="P177" s="27" t="str">
        <x:v>vistar.com</x:v>
      </x:c>
      <x:c r="Q177" s="27"/>
      <x:c r="R177" s="27" t="str"/>
      <x:c r="S177" s="27" t="str">
        <x:v>Ordering portal not publicly verified</x:v>
      </x:c>
      <x:c r="T177" s="27"/>
      <x:c r="U177" s="27" t="str">
        <x:v>No public template located in this pass</x:v>
      </x:c>
      <x:c r="V177" s="27" t="str">
        <x:v>Supplemental research</x:v>
      </x:c>
      <x:c r="W177" s="27" t="str">
        <x:v>https://www.vistar.com</x:v>
      </x:c>
      <x:c r="X177" s="27" t="str">
        <x:v>https://www.vistar.com/locations</x:v>
      </x:c>
      <x:c r="Y177" s="54" t="n">
        <x:v>46217</x:v>
      </x:c>
      <x:c r="Z177" s="27" t="str">
        <x:v>High</x:v>
      </x:c>
      <x:c r="AA177" s="27" t="str">
        <x:v>Approved seed</x:v>
      </x:c>
      <x:c r="AB177" s="27" t="str">
        <x:v>No</x:v>
      </x:c>
      <x:c r="AC177" s="27" t="str">
        <x:v>Direct website verified from directory/source; customer ordering route requires additional account-level or site-specific verification.</x:v>
      </x:c>
    </x:row>
    <x:row r="178">
      <x:c r="A178" s="27" t="str">
        <x:v>vitco_distributors_inc</x:v>
      </x:c>
      <x:c r="B178" s="27" t="str">
        <x:v>Vitco Distributors, Inc.</x:v>
      </x:c>
      <x:c r="C178" s="27" t="str"/>
      <x:c r="D178" s="27" t="str">
        <x:v>Direct foodservice distributor</x:v>
      </x:c>
      <x:c r="E178" s="27" t="str">
        <x:v>Broadline</x:v>
      </x:c>
      <x:c r="F178" s="27" t="str">
        <x:v>Active</x:v>
      </x:c>
      <x:c r="G178" s="27" t="str"/>
      <x:c r="H178" s="27" t="str">
        <x:v>United States</x:v>
      </x:c>
      <x:c r="I178" s="27" t="str">
        <x:v>US</x:v>
      </x:c>
      <x:c r="J178" s="27" t="str"/>
      <x:c r="K178" s="27" t="str">
        <x:v>Regional</x:v>
      </x:c>
      <x:c r="L178" s="27" t="str">
        <x:v>California, Nevada, Arizona</x:v>
      </x:c>
      <x:c r="M178" s="27" t="str">
        <x:v>CA,NV,AZ</x:v>
      </x:c>
      <x:c r="N178" s="27" t="str">
        <x:v>Southern California-centered broadline distribution.</x:v>
      </x:c>
      <x:c r="O178" s="27" t="str">
        <x:v>https://www.vitcofoods.com</x:v>
      </x:c>
      <x:c r="P178" s="27" t="str">
        <x:v>vitcofoods.com</x:v>
      </x:c>
      <x:c r="Q178" s="27"/>
      <x:c r="R178" s="27" t="str"/>
      <x:c r="S178" s="27" t="str">
        <x:v>Ordering portal not publicly verified</x:v>
      </x:c>
      <x:c r="T178" s="27"/>
      <x:c r="U178" s="27" t="str">
        <x:v>No public template located in this pass</x:v>
      </x:c>
      <x:c r="V178" s="27" t="str">
        <x:v>IFDA 2026</x:v>
      </x:c>
      <x:c r="W178" s="27" t="str">
        <x:v>https://ifdaonline.org/distributor-members/</x:v>
      </x:c>
      <x:c r="X178" s="27" t="str">
        <x:v>https://www.vitcofoods.com</x:v>
      </x:c>
      <x:c r="Y178" s="54" t="n">
        <x:v>46217</x:v>
      </x:c>
      <x:c r="Z178" s="27" t="str">
        <x:v>Low</x:v>
      </x:c>
      <x:c r="AA178" s="27" t="str">
        <x:v>Review before seed</x:v>
      </x:c>
      <x:c r="AB178" s="27" t="str">
        <x:v>No</x:v>
      </x:c>
      <x:c r="AC178" s="27" t="str">
        <x:v>Direct website verified from directory/source; customer ordering route requires additional account-level or site-specific verification.</x:v>
      </x:c>
    </x:row>
    <x:row r="179">
      <x:c r="A179" s="27" t="str">
        <x:v>wabash_foodservice</x:v>
      </x:c>
      <x:c r="B179" s="27" t="str">
        <x:v>Wabash Foodservice</x:v>
      </x:c>
      <x:c r="C179" s="27" t="str"/>
      <x:c r="D179" s="27" t="str">
        <x:v>Direct foodservice distributor</x:v>
      </x:c>
      <x:c r="E179" s="27" t="str">
        <x:v>Broadline</x:v>
      </x:c>
      <x:c r="F179" s="27" t="str">
        <x:v>Active</x:v>
      </x:c>
      <x:c r="G179" s="27" t="str"/>
      <x:c r="H179" s="27" t="str">
        <x:v>United States</x:v>
      </x:c>
      <x:c r="I179" s="27" t="str">
        <x:v>US</x:v>
      </x:c>
      <x:c r="J179" s="27" t="str"/>
      <x:c r="K179" s="27" t="str">
        <x:v>Regional</x:v>
      </x:c>
      <x:c r="L179" s="27" t="str">
        <x:v>Illinois, Indiana, Kentucky, Tennessee, Missouri</x:v>
      </x:c>
      <x:c r="M179" s="27" t="str">
        <x:v>IL,IN,KY,TN,MO</x:v>
      </x:c>
      <x:c r="N179" s="27" t="str">
        <x:v>Illinois-centered regional distribution.</x:v>
      </x:c>
      <x:c r="O179" s="27" t="str">
        <x:v>https://www.wabashfoodservice.com</x:v>
      </x:c>
      <x:c r="P179" s="27" t="str">
        <x:v>wabashfoodservice.com</x:v>
      </x:c>
      <x:c r="Q179" s="27"/>
      <x:c r="R179" s="27" t="str"/>
      <x:c r="S179" s="27" t="str">
        <x:v>Ordering portal not publicly verified</x:v>
      </x:c>
      <x:c r="T179" s="27"/>
      <x:c r="U179" s="27" t="str">
        <x:v>No public template located in this pass</x:v>
      </x:c>
      <x:c r="V179" s="27" t="str">
        <x:v>IFDA 2026</x:v>
      </x:c>
      <x:c r="W179" s="27" t="str">
        <x:v>https://ifdaonline.org/distributor-members/</x:v>
      </x:c>
      <x:c r="X179" s="27" t="str">
        <x:v>https://www.wabashfoodservice.com</x:v>
      </x:c>
      <x:c r="Y179" s="54" t="n">
        <x:v>46217</x:v>
      </x:c>
      <x:c r="Z179" s="27" t="str">
        <x:v>Low</x:v>
      </x:c>
      <x:c r="AA179" s="27" t="str">
        <x:v>Review before seed</x:v>
      </x:c>
      <x:c r="AB179" s="27" t="str">
        <x:v>No</x:v>
      </x:c>
      <x:c r="AC179" s="27" t="str">
        <x:v>Direct website verified from directory/source; customer ordering route requires additional account-level or site-specific verification.</x:v>
      </x:c>
    </x:row>
    <x:row r="180">
      <x:c r="A180" s="27" t="str">
        <x:v>warwick_poultry</x:v>
      </x:c>
      <x:c r="B180" s="27" t="str">
        <x:v>Warwick Poultry</x:v>
      </x:c>
      <x:c r="C180" s="27" t="str"/>
      <x:c r="D180" s="27" t="str">
        <x:v>Direct foodservice distributor</x:v>
      </x:c>
      <x:c r="E180" s="27" t="str">
        <x:v>Poultry / center-of-plate</x:v>
      </x:c>
      <x:c r="F180" s="27" t="str">
        <x:v>Active</x:v>
      </x:c>
      <x:c r="G180" s="27" t="str">
        <x:v>Reds Farm LLC / Génere family of businesses</x:v>
      </x:c>
      <x:c r="H180" s="27" t="str">
        <x:v>United States</x:v>
      </x:c>
      <x:c r="I180" s="27" t="str">
        <x:v>US</x:v>
      </x:c>
      <x:c r="J180" s="27" t="str">
        <x:v>New England</x:v>
      </x:c>
      <x:c r="K180" s="27" t="str">
        <x:v>Regional</x:v>
      </x:c>
      <x:c r="L180" s="27" t="str">
        <x:v>Maine, New Hampshire, Vermont, Massachusetts, Rhode Island, Connecticut</x:v>
      </x:c>
      <x:c r="M180" s="27" t="str">
        <x:v>ME,NH,VT,MA,RI,CT</x:v>
      </x:c>
      <x:c r="N180" s="27" t="str">
        <x:v>Retailers and restaurants throughout New England.</x:v>
      </x:c>
      <x:c r="O180" s="27" t="str"/>
      <x:c r="P180" s="27" t="str"/>
      <x:c r="Q180" s="27" t="str"/>
      <x:c r="R180" s="27" t="str"/>
      <x:c r="S180" s="27" t="str">
        <x:v>Ordering portal not publicly verified</x:v>
      </x:c>
      <x:c r="T180" s="27" t="str"/>
      <x:c r="U180" s="27" t="str">
        <x:v>No public template located</x:v>
      </x:c>
      <x:c r="V180" s="27" t="str">
        <x:v>Golbon current/recent member</x:v>
      </x:c>
      <x:c r="W180" s="27" t="str">
        <x:v>https://golbon.com/press/golbon-welcomes-new-member-warwick-poultry/</x:v>
      </x:c>
      <x:c r="X180" s="27" t="str">
        <x:v>https://golbon.com/press/golbon-welcomes-new-member-warwick-poultry/</x:v>
      </x:c>
      <x:c r="Y180" s="54" t="n">
        <x:v>46217</x:v>
      </x:c>
      <x:c r="Z180" s="27" t="str">
        <x:v>High</x:v>
      </x:c>
      <x:c r="AA180" s="27" t="str">
        <x:v>Approved seed</x:v>
      </x:c>
      <x:c r="AB180" s="27" t="str">
        <x:v>Yes</x:v>
      </x:c>
      <x:c r="AC180" s="27" t="str"/>
    </x:row>
    <x:row r="181">
      <x:c r="A181" s="27" t="str">
        <x:v>web_food_store</x:v>
      </x:c>
      <x:c r="B181" s="27" t="str">
        <x:v>Web Food Store</x:v>
      </x:c>
      <x:c r="C181" s="27" t="str">
        <x:v>WebFoodStore.com | WFS</x:v>
      </x:c>
      <x:c r="D181" s="27" t="str">
        <x:v>Online / e-commerce purveyor</x:v>
      </x:c>
      <x:c r="E181" s="27" t="str">
        <x:v>Online foodservice distributor</x:v>
      </x:c>
      <x:c r="F181" s="27" t="str">
        <x:v>Active</x:v>
      </x:c>
      <x:c r="G181" s="27" t="str"/>
      <x:c r="H181" s="27" t="str">
        <x:v>United States</x:v>
      </x:c>
      <x:c r="I181" s="27" t="str">
        <x:v>US</x:v>
      </x:c>
      <x:c r="J181" s="27" t="str">
        <x:v>United States</x:v>
      </x:c>
      <x:c r="K181" s="27" t="str">
        <x:v>Online nationwide</x:v>
      </x:c>
      <x:c r="L181" s="27" t="str">
        <x:v>United States</x:v>
      </x:c>
      <x:c r="M181" s="27" t="str"/>
      <x:c r="N181" s="27" t="str">
        <x:v>National direct-to-business shipping.</x:v>
      </x:c>
      <x:c r="O181" s="27" t="str">
        <x:v>https://webfoodstore.com/</x:v>
      </x:c>
      <x:c r="P181" s="27" t="str">
        <x:v>webfoodstore.com</x:v>
      </x:c>
      <x:c r="Q181" s="27" t="str">
        <x:v>https://webfoodstore.com/</x:v>
      </x:c>
      <x:c r="R181" s="27" t="str">
        <x:v>public_ecommerce</x:v>
      </x:c>
      <x:c r="S181" s="27" t="str">
        <x:v>Public e-commerce storefront</x:v>
      </x:c>
      <x:c r="T181" s="27" t="str"/>
      <x:c r="U181" s="27" t="str">
        <x:v>No public template located</x:v>
      </x:c>
      <x:c r="V181" s="27" t="str">
        <x:v>Golbon current/recent member</x:v>
      </x:c>
      <x:c r="W181" s="27" t="str">
        <x:v>https://golbon.com/press/golbon-welcomes-new-member-web-food-store/</x:v>
      </x:c>
      <x:c r="X181" s="27" t="str">
        <x:v>https://webfoodstore.com/</x:v>
      </x:c>
      <x:c r="Y181" s="54" t="n">
        <x:v>46217</x:v>
      </x:c>
      <x:c r="Z181" s="27" t="str">
        <x:v>High</x:v>
      </x:c>
      <x:c r="AA181" s="27" t="str">
        <x:v>Approved seed</x:v>
      </x:c>
      <x:c r="AB181" s="27" t="str">
        <x:v>Yes</x:v>
      </x:c>
      <x:c r="AC181" s="27" t="str"/>
    </x:row>
    <x:row r="182">
      <x:c r="A182" s="27" t="str">
        <x:v>webstaurantstore</x:v>
      </x:c>
      <x:c r="B182" s="27" t="str">
        <x:v>WebstaurantStore</x:v>
      </x:c>
      <x:c r="C182" s="27" t="str"/>
      <x:c r="D182" s="27" t="str">
        <x:v>Online / e-commerce purveyor</x:v>
      </x:c>
      <x:c r="E182" s="27" t="str">
        <x:v>Online restaurant supply / food</x:v>
      </x:c>
      <x:c r="F182" s="27" t="str">
        <x:v>Active</x:v>
      </x:c>
      <x:c r="G182" s="27" t="str"/>
      <x:c r="H182" s="27" t="str">
        <x:v>United States</x:v>
      </x:c>
      <x:c r="I182" s="27" t="str">
        <x:v>US</x:v>
      </x:c>
      <x:c r="J182" s="27" t="str"/>
      <x:c r="K182" s="27" t="str">
        <x:v>Online nationwide</x:v>
      </x:c>
      <x:c r="L182" s="27"/>
      <x:c r="M182" s="27"/>
      <x:c r="N182" s="27" t="str">
        <x:v>National e-commerce ordering; freight, parcel and product restrictions vary by ZIP.</x:v>
      </x:c>
      <x:c r="O182" s="27" t="str">
        <x:v>https://www.webstaurantstore.com</x:v>
      </x:c>
      <x:c r="P182" s="27" t="str">
        <x:v>webstaurantstore.com</x:v>
      </x:c>
      <x:c r="Q182" s="27" t="str">
        <x:v>https://www.webstaurantstore.com/</x:v>
      </x:c>
      <x:c r="R182" s="27" t="str">
        <x:v>public_ecommerce</x:v>
      </x:c>
      <x:c r="S182" s="27" t="str">
        <x:v>Public e-commerce storefront</x:v>
      </x:c>
      <x:c r="T182" s="27"/>
      <x:c r="U182" s="27" t="str">
        <x:v>No vendor-order import template found</x:v>
      </x:c>
      <x:c r="V182" s="27" t="str">
        <x:v>Supplemental research</x:v>
      </x:c>
      <x:c r="W182" s="27" t="str">
        <x:v>https://www.webstaurantstore.com/</x:v>
      </x:c>
      <x:c r="X182" s="27" t="str">
        <x:v>https://www.webstaurantstore.com</x:v>
      </x:c>
      <x:c r="Y182" s="54" t="n">
        <x:v>46217</x:v>
      </x:c>
      <x:c r="Z182" s="27" t="str">
        <x:v>High</x:v>
      </x:c>
      <x:c r="AA182" s="27" t="str">
        <x:v>Approved seed</x:v>
      </x:c>
      <x:c r="AB182" s="27" t="str">
        <x:v>No</x:v>
      </x:c>
      <x:c r="AC182" s="27" t="str">
        <x:v>Open online ordering for food, supplies and equipment.</x:v>
      </x:c>
    </x:row>
    <x:row r="183">
      <x:c r="A183" s="27" t="str">
        <x:v>what_chefs_want</x:v>
      </x:c>
      <x:c r="B183" s="27" t="str">
        <x:v>What Chefs Want</x:v>
      </x:c>
      <x:c r="C183" s="27" t="str">
        <x:v>WCW</x:v>
      </x:c>
      <x:c r="D183" s="27" t="str">
        <x:v>Direct foodservice distributor</x:v>
      </x:c>
      <x:c r="E183" s="27" t="str">
        <x:v>Produce / specialty broadline</x:v>
      </x:c>
      <x:c r="F183" s="27" t="str">
        <x:v>Active</x:v>
      </x:c>
      <x:c r="G183" s="27" t="str"/>
      <x:c r="H183" s="27" t="str">
        <x:v>United States</x:v>
      </x:c>
      <x:c r="I183" s="27" t="str">
        <x:v>US</x:v>
      </x:c>
      <x:c r="J183" s="27" t="str"/>
      <x:c r="K183" s="27" t="str">
        <x:v>Multi-regional</x:v>
      </x:c>
      <x:c r="L183" s="27" t="str">
        <x:v>Alabama, Colorado, Florida, Georgia, Illinois, Indiana, Kentucky, Missouri, North Carolina, South Carolina, Ohio, Tennessee</x:v>
      </x:c>
      <x:c r="M183" s="27" t="str">
        <x:v>AL,CO,FL,GA,IL,IN,KY,MO,NC,SC,OH,TN</x:v>
      </x:c>
      <x:c r="N183" s="27" t="str">
        <x:v>Officially publishes service in these 12 states through 19 distribution centers.</x:v>
      </x:c>
      <x:c r="O183" s="27" t="str">
        <x:v>https://www.whatchefswant.com</x:v>
      </x:c>
      <x:c r="P183" s="27" t="str">
        <x:v>whatchefswant.com</x:v>
      </x:c>
      <x:c r="Q183" s="27" t="str">
        <x:v>https://whatchefswant.cutanddry.com/</x:v>
      </x:c>
      <x:c r="R183" s="27" t="str">
        <x:v>cut_and_dry</x:v>
      </x:c>
      <x:c r="S183" s="27" t="str">
        <x:v>Verified direct customer portal</x:v>
      </x:c>
      <x:c r="T183" s="27"/>
      <x:c r="U183" s="27" t="str">
        <x:v>No public template found</x:v>
      </x:c>
      <x:c r="V183" s="27" t="str">
        <x:v>Supplemental research</x:v>
      </x:c>
      <x:c r="W183" s="27" t="str">
        <x:v>https://www.whatchefswant.com/customer-login/</x:v>
      </x:c>
      <x:c r="X183" s="27" t="str">
        <x:v>https://www.whatchefswant.com/regions/</x:v>
      </x:c>
      <x:c r="Y183" s="54" t="n">
        <x:v>46217</x:v>
      </x:c>
      <x:c r="Z183" s="27" t="str">
        <x:v>High</x:v>
      </x:c>
      <x:c r="AA183" s="27" t="str">
        <x:v>Approved seed</x:v>
      </x:c>
      <x:c r="AB183" s="27" t="str">
        <x:v>No</x:v>
      </x:c>
      <x:c r="AC183" s="27" t="str">
        <x:v>Cut+Dry portal; legacy/customer-specific login options also remain.</x:v>
      </x:c>
    </x:row>
    <x:row r="184">
      <x:c r="A184" s="27" t="str">
        <x:v>wood_fruitticher_food_service</x:v>
      </x:c>
      <x:c r="B184" s="27" t="str">
        <x:v>Wood Fruitticher Food Service</x:v>
      </x:c>
      <x:c r="C184" s="27" t="str"/>
      <x:c r="D184" s="27" t="str">
        <x:v>Direct foodservice distributor</x:v>
      </x:c>
      <x:c r="E184" s="27" t="str">
        <x:v>Broadline</x:v>
      </x:c>
      <x:c r="F184" s="27" t="str">
        <x:v>Active</x:v>
      </x:c>
      <x:c r="G184" s="27" t="str"/>
      <x:c r="H184" s="27" t="str">
        <x:v>United States</x:v>
      </x:c>
      <x:c r="I184" s="27" t="str">
        <x:v>US</x:v>
      </x:c>
      <x:c r="J184" s="27" t="str"/>
      <x:c r="K184" s="27" t="str">
        <x:v>Regional</x:v>
      </x:c>
      <x:c r="L184" s="27" t="str">
        <x:v>Alabama, Georgia, Florida, Mississippi, Tennessee</x:v>
      </x:c>
      <x:c r="M184" s="27" t="str">
        <x:v>AL,GA,FL,MS,TN</x:v>
      </x:c>
      <x:c r="N184" s="27" t="str">
        <x:v>Official service area includes Alabama, Georgia, Florida, Mississippi and Tennessee.</x:v>
      </x:c>
      <x:c r="O184" s="27" t="str">
        <x:v>https://www.woodfruitticher.com</x:v>
      </x:c>
      <x:c r="P184" s="27" t="str">
        <x:v>woodfruitticher.com</x:v>
      </x:c>
      <x:c r="Q184" s="27" t="str">
        <x:v>https://woodfruitticher.foodorderentry.com/?FromMobile=1</x:v>
      </x:c>
      <x:c r="R184" s="27" t="str">
        <x:v>food_order_entry</x:v>
      </x:c>
      <x:c r="S184" s="27" t="str">
        <x:v>Verified direct customer portal</x:v>
      </x:c>
      <x:c r="T184" s="27"/>
      <x:c r="U184" s="27" t="str">
        <x:v>No public template found</x:v>
      </x:c>
      <x:c r="V184" s="27" t="str">
        <x:v>IFDA 2026</x:v>
      </x:c>
      <x:c r="W184" s="27" t="str">
        <x:v>https://www.woodfruitticher.com/resources/online-ordering/</x:v>
      </x:c>
      <x:c r="X184" s="27" t="str">
        <x:v>https://www.woodfruitticher.com/about/foodservice-distributor/</x:v>
      </x:c>
      <x:c r="Y184" s="54" t="n">
        <x:v>46217</x:v>
      </x:c>
      <x:c r="Z184" s="27" t="str">
        <x:v>High</x:v>
      </x:c>
      <x:c r="AA184" s="27" t="str">
        <x:v>Approved seed</x:v>
      </x:c>
      <x:c r="AB184" s="27" t="str">
        <x:v>No</x:v>
      </x:c>
      <x:c r="AC184" s="27" t="str">
        <x:v>Also migrating/promoting a Pepper-powered mobile and web system.</x:v>
      </x:c>
    </x:row>
    <x:row r="185">
      <x:c r="A185" s="27" t="str">
        <x:v>y_hata_and_co_ltd</x:v>
      </x:c>
      <x:c r="B185" s="27" t="str">
        <x:v>Y. Hata &amp; Co., Ltd.</x:v>
      </x:c>
      <x:c r="C185" s="27" t="str"/>
      <x:c r="D185" s="27" t="str">
        <x:v>Direct foodservice distributor</x:v>
      </x:c>
      <x:c r="E185" s="27" t="str">
        <x:v>Broadline / Hawaii</x:v>
      </x:c>
      <x:c r="F185" s="27" t="str">
        <x:v>Active</x:v>
      </x:c>
      <x:c r="G185" s="27" t="str"/>
      <x:c r="H185" s="27" t="str">
        <x:v>United States</x:v>
      </x:c>
      <x:c r="I185" s="27" t="str">
        <x:v>US</x:v>
      </x:c>
      <x:c r="J185" s="27" t="str"/>
      <x:c r="K185" s="27" t="str">
        <x:v>Territory-wide</x:v>
      </x:c>
      <x:c r="L185" s="27" t="str">
        <x:v>Hawaii</x:v>
      </x:c>
      <x:c r="M185" s="27" t="str">
        <x:v>HI</x:v>
      </x:c>
      <x:c r="N185" s="27" t="str">
        <x:v>Hawaii foodservice distribution.</x:v>
      </x:c>
      <x:c r="O185" s="27" t="str">
        <x:v>https://www.yhata.com</x:v>
      </x:c>
      <x:c r="P185" s="27" t="str">
        <x:v>yhata.com</x:v>
      </x:c>
      <x:c r="Q185" s="27"/>
      <x:c r="R185" s="27" t="str"/>
      <x:c r="S185" s="27" t="str">
        <x:v>Ordering portal not publicly verified</x:v>
      </x:c>
      <x:c r="T185" s="27"/>
      <x:c r="U185" s="27" t="str">
        <x:v>No public template located in this pass</x:v>
      </x:c>
      <x:c r="V185" s="27" t="str">
        <x:v>IFDA 2026</x:v>
      </x:c>
      <x:c r="W185" s="27" t="str">
        <x:v>https://ifdaonline.org/distributor-members/</x:v>
      </x:c>
      <x:c r="X185" s="27" t="str">
        <x:v>https://www.yhata.com</x:v>
      </x:c>
      <x:c r="Y185" s="54" t="n">
        <x:v>46217</x:v>
      </x:c>
      <x:c r="Z185" s="27" t="str">
        <x:v>High</x:v>
      </x:c>
      <x:c r="AA185" s="27" t="str">
        <x:v>Approved seed</x:v>
      </x:c>
      <x:c r="AB185" s="27" t="str">
        <x:v>No</x:v>
      </x:c>
      <x:c r="AC185" s="27" t="str">
        <x:v>Direct website verified from directory/source; customer ordering route requires additional account-level or site-specific verification.</x:v>
      </x:c>
    </x:row>
    <x:row r="186">
      <x:c r="A186" s="27" t="str">
        <x:v>yen_bros_food_service</x:v>
      </x:c>
      <x:c r="B186" s="27" t="str">
        <x:v>Yen Bros. Food Service</x:v>
      </x:c>
      <x:c r="C186" s="27" t="str"/>
      <x:c r="D186" s="27" t="str">
        <x:v>Direct foodservice distributor</x:v>
      </x:c>
      <x:c r="E186" s="27" t="str">
        <x:v>Asian / broadline</x:v>
      </x:c>
      <x:c r="F186" s="27" t="str">
        <x:v>Active</x:v>
      </x:c>
      <x:c r="G186" s="27" t="str"/>
      <x:c r="H186" s="27" t="str">
        <x:v>United States</x:v>
      </x:c>
      <x:c r="I186" s="27" t="str">
        <x:v>US</x:v>
      </x:c>
      <x:c r="J186" s="27" t="str"/>
      <x:c r="K186" s="27" t="str">
        <x:v>Regional</x:v>
      </x:c>
      <x:c r="L186" s="27" t="str">
        <x:v>Washington, Oregon</x:v>
      </x:c>
      <x:c r="M186" s="27" t="str">
        <x:v>WA,OR</x:v>
      </x:c>
      <x:c r="N186" s="27" t="str">
        <x:v>Seattle-centered Asian and broadline distribution.</x:v>
      </x:c>
      <x:c r="O186" s="27" t="str">
        <x:v>https://www.yenbros.com</x:v>
      </x:c>
      <x:c r="P186" s="27" t="str">
        <x:v>yenbros.com</x:v>
      </x:c>
      <x:c r="Q186" s="27"/>
      <x:c r="R186" s="27" t="str"/>
      <x:c r="S186" s="27" t="str">
        <x:v>Ordering portal not publicly verified</x:v>
      </x:c>
      <x:c r="T186" s="27"/>
      <x:c r="U186" s="27" t="str">
        <x:v>No public template located in this pass</x:v>
      </x:c>
      <x:c r="V186" s="27" t="str">
        <x:v>IFDA 2026</x:v>
      </x:c>
      <x:c r="W186" s="27" t="str">
        <x:v>https://ifdaonline.org/distributor-members/</x:v>
      </x:c>
      <x:c r="X186" s="27" t="str">
        <x:v>https://www.yenbros.com</x:v>
      </x:c>
      <x:c r="Y186" s="54" t="n">
        <x:v>46217</x:v>
      </x:c>
      <x:c r="Z186" s="27" t="str">
        <x:v>Medium</x:v>
      </x:c>
      <x:c r="AA186" s="27" t="str">
        <x:v>Approved seed</x:v>
      </x:c>
      <x:c r="AB186" s="27" t="str">
        <x:v>No</x:v>
      </x:c>
      <x:c r="AC186" s="27" t="str">
        <x:v>Direct website verified from directory/source; customer ordering route requires additional account-level or site-specific verification.</x:v>
      </x:c>
    </x:row>
    <x:row r="187">
      <x:c r="A187" s="27" t="str">
        <x:v>la_reserve</x:v>
      </x:c>
      <x:c r="B187" s="27" t="str">
        <x:v>La Reserve</x:v>
      </x:c>
      <x:c r="C187" s="27" t="str"/>
      <x:c r="D187" s="27" t="str">
        <x:v>Direct foodservice distributor</x:v>
      </x:c>
      <x:c r="E187" s="27" t="str">
        <x:v>Specialty foodservice</x:v>
      </x:c>
      <x:c r="F187" s="27" t="str">
        <x:v>Active</x:v>
      </x:c>
      <x:c r="G187" s="27" t="str"/>
      <x:c r="H187" s="27" t="str">
        <x:v>Unknown</x:v>
      </x:c>
      <x:c r="I187" s="27" t="str"/>
      <x:c r="J187" s="27" t="str"/>
      <x:c r="K187" s="27" t="str">
        <x:v>Unverified</x:v>
      </x:c>
      <x:c r="L187" s="27" t="str"/>
      <x:c r="M187" s="27" t="str"/>
      <x:c r="N187" s="27" t="str"/>
      <x:c r="O187" s="27" t="str"/>
      <x:c r="P187" s="27" t="str"/>
      <x:c r="Q187" s="27" t="str"/>
      <x:c r="R187" s="27" t="str"/>
      <x:c r="S187" s="27" t="str">
        <x:v>Ordering portal not publicly verified</x:v>
      </x:c>
      <x:c r="T187" s="27" t="str"/>
      <x:c r="U187" s="27" t="str">
        <x:v>No public template located</x:v>
      </x:c>
      <x:c r="V187" s="27" t="str">
        <x:v>IFDA 2026</x:v>
      </x:c>
      <x:c r="W187" s="27" t="str">
        <x:v>https://ifdaonline.org/distributor-members/</x:v>
      </x:c>
      <x:c r="X187" s="27" t="str">
        <x:v>https://ifdaonline.org/distributor-members/</x:v>
      </x:c>
      <x:c r="Y187" s="54" t="n">
        <x:v>46217</x:v>
      </x:c>
      <x:c r="Z187" s="27" t="str">
        <x:v>Low</x:v>
      </x:c>
      <x:c r="AA187" s="27" t="str">
        <x:v>Review before seed</x:v>
      </x:c>
      <x:c r="AB187" s="27" t="str">
        <x:v>Yes</x:v>
      </x:c>
      <x:c r="AC187" s="27" t="str">
        <x:v>Current international IFDA distributor member; geography should be normalized by province/country during future expansion.</x:v>
      </x:c>
    </x:row>
  </x:sheetData>
  <x:conditionalFormatting sqref="Z2:Z187">
    <x:cfRule type="expression" dxfId="7" priority="1">
      <x:formula>Z2="High"</x:formula>
    </x:cfRule>
    <x:cfRule type="expression" dxfId="8" priority="2">
      <x:formula>Z2="Medium"</x:formula>
    </x:cfRule>
    <x:cfRule type="expression" dxfId="9" priority="3">
      <x:formula>Z2="Low"</x:formula>
    </x:cfRule>
  </x:conditionalFormatting>
  <x:conditionalFormatting sqref="AA2:AA187">
    <x:cfRule type="expression" dxfId="10" priority="4">
      <x:formula>AA2="Approved seed"</x:formula>
    </x:cfRule>
    <x:cfRule type="expression" dxfId="11" priority="5">
      <x:formula>AA2="Review before seed"</x:formula>
    </x:cfRule>
    <x:cfRule type="expression" dxfId="12" priority="6">
      <x:formula>AA2="Reference only"</x:formula>
    </x:cfRule>
  </x:conditionalFormatting>
  <x:conditionalFormatting sqref="AB2:AB187">
    <x:cfRule type="expression" dxfId="13" priority="7">
      <x:formula>OR(AB2="Yes",AB2="Updated")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df6719745ad4deb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4" hidden="0" customWidth="1"/>
    <x:col min="3" max="3" width="38" hidden="0" customWidth="1"/>
    <x:col min="4" max="4" width="30" hidden="0" customWidth="1"/>
    <x:col min="5" max="5" width="12" hidden="0" customWidth="1"/>
    <x:col min="6" max="6" width="25" hidden="0" customWidth="1"/>
    <x:col min="7" max="7" width="30" hidden="0" customWidth="1"/>
    <x:col min="8" max="8" width="34" hidden="0" customWidth="1"/>
    <x:col min="9" max="9" width="24" hidden="0" customWidth="1"/>
    <x:col min="10" max="10" width="44" hidden="0" customWidth="1"/>
    <x:col min="11" max="11" width="30" hidden="0" customWidth="1"/>
    <x:col min="12" max="12" width="32" hidden="0" customWidth="1"/>
    <x:col min="13" max="13" width="20" hidden="0" customWidth="1"/>
    <x:col min="14" max="14" width="50" hidden="0" customWidth="1"/>
    <x:col min="15" max="15" width="13" hidden="0" customWidth="1"/>
  </x:cols>
  <x:sheetData>
    <x:row r="1" ht="38" customHeight="1">
      <x:c r="A1" s="72" t="str">
        <x:v>vendor_key</x:v>
      </x:c>
      <x:c r="B1" s="72" t="str">
        <x:v>canonical_name</x:v>
      </x:c>
      <x:c r="C1" s="72" t="str">
        <x:v>aliases_pipe</x:v>
      </x:c>
      <x:c r="D1" s="72" t="str">
        <x:v>website_domain</x:v>
      </x:c>
      <x:c r="E1" s="72" t="str">
        <x:v>country_code</x:v>
      </x:c>
      <x:c r="F1" s="72" t="str">
        <x:v>state_codes_csv</x:v>
      </x:c>
      <x:c r="G1" s="72" t="str">
        <x:v>vendor_type</x:v>
      </x:c>
      <x:c r="H1" s="72" t="str">
        <x:v>category</x:v>
      </x:c>
      <x:c r="I1" s="72" t="str">
        <x:v>connector_key</x:v>
      </x:c>
      <x:c r="J1" s="72" t="str">
        <x:v>ordering_url</x:v>
      </x:c>
      <x:c r="K1" s="72" t="str">
        <x:v>active_status</x:v>
      </x:c>
      <x:c r="L1" s="72" t="str">
        <x:v>parent_network</x:v>
      </x:c>
      <x:c r="M1" s="72" t="str">
        <x:v>seed_status</x:v>
      </x:c>
      <x:c r="N1" s="72" t="str">
        <x:v>source_url</x:v>
      </x:c>
      <x:c r="O1" s="72" t="str">
        <x:v>verified_on</x:v>
      </x:c>
    </x:row>
    <x:row r="2">
      <x:c r="A2" s="27" t="str">
        <x:v>butterfield_and_vallis</x:v>
      </x:c>
      <x:c r="B2" s="27" t="str">
        <x:v>Butterfield &amp; Vallis</x:v>
      </x:c>
      <x:c r="C2" s="27" t="str"/>
      <x:c r="D2" s="27" t="str">
        <x:v>bv.bm</x:v>
      </x:c>
      <x:c r="E2" s="27" t="str">
        <x:v>BM</x:v>
      </x:c>
      <x:c r="F2" s="27" t="str"/>
      <x:c r="G2" s="27" t="str">
        <x:v>Direct foodservice distributor</x:v>
      </x:c>
      <x:c r="H2" s="27" t="str">
        <x:v>Broadline / grocery wholesale</x:v>
      </x:c>
      <x:c r="I2" s="27" t="str"/>
      <x:c r="J2" s="27" t="str"/>
      <x:c r="K2" s="27" t="str">
        <x:v>Active</x:v>
      </x:c>
      <x:c r="L2" s="27" t="str"/>
      <x:c r="M2" s="27" t="str">
        <x:v>Approved seed</x:v>
      </x:c>
      <x:c r="N2" s="27" t="str">
        <x:v>https://ifdaonline.org/distributor-members/</x:v>
      </x:c>
      <x:c r="O2" s="54" t="n">
        <x:v>46217</x:v>
      </x:c>
    </x:row>
    <x:row r="3">
      <x:c r="A3" s="27" t="str">
        <x:v>fortali_dist_de_alim_ltda</x:v>
      </x:c>
      <x:c r="B3" s="27" t="str">
        <x:v>Fortali Dist De Alim LTDA</x:v>
      </x:c>
      <x:c r="C3" s="27" t="str"/>
      <x:c r="D3" s="27" t="str">
        <x:v>fortali.com.br</x:v>
      </x:c>
      <x:c r="E3" s="27" t="str">
        <x:v>BR</x:v>
      </x:c>
      <x:c r="F3" s="27" t="str"/>
      <x:c r="G3" s="27" t="str">
        <x:v>Direct foodservice distributor</x:v>
      </x:c>
      <x:c r="H3" s="27" t="str">
        <x:v>Broadline</x:v>
      </x:c>
      <x:c r="I3" s="27" t="str"/>
      <x:c r="J3" s="27" t="str"/>
      <x:c r="K3" s="27" t="str">
        <x:v>Active</x:v>
      </x:c>
      <x:c r="L3" s="27" t="str"/>
      <x:c r="M3" s="27" t="str">
        <x:v>Approved seed</x:v>
      </x:c>
      <x:c r="N3" s="27" t="str">
        <x:v>https://ifdaonline.org/distributor-members/</x:v>
      </x:c>
      <x:c r="O3" s="54" t="n">
        <x:v>46217</x:v>
      </x:c>
    </x:row>
    <x:row r="4">
      <x:c r="A4" s="27" t="str">
        <x:v>amalgamated_dairies_limited_adl</x:v>
      </x:c>
      <x:c r="B4" s="27" t="str">
        <x:v>Amalgamated Dairies Limited (ADL)</x:v>
      </x:c>
      <x:c r="C4" s="27" t="str"/>
      <x:c r="D4" s="27" t="str">
        <x:v>adlfoods.ca</x:v>
      </x:c>
      <x:c r="E4" s="27" t="str">
        <x:v>CA</x:v>
      </x:c>
      <x:c r="F4" s="27" t="str"/>
      <x:c r="G4" s="27" t="str">
        <x:v>Direct foodservice distributor</x:v>
      </x:c>
      <x:c r="H4" s="27" t="str">
        <x:v>Dairy / broadline</x:v>
      </x:c>
      <x:c r="I4" s="27" t="str"/>
      <x:c r="J4" s="27" t="str"/>
      <x:c r="K4" s="27" t="str">
        <x:v>Active</x:v>
      </x:c>
      <x:c r="L4" s="27" t="str"/>
      <x:c r="M4" s="27" t="str">
        <x:v>Approved seed</x:v>
      </x:c>
      <x:c r="N4" s="27" t="str">
        <x:v>https://ifdaonline.org/distributor-members/</x:v>
      </x:c>
      <x:c r="O4" s="54" t="n">
        <x:v>46217</x:v>
      </x:c>
    </x:row>
    <x:row r="5">
      <x:c r="A5" s="27" t="str">
        <x:v>aof_food_service_inc</x:v>
      </x:c>
      <x:c r="B5" s="27" t="str">
        <x:v>AOF Food Service Inc.</x:v>
      </x:c>
      <x:c r="C5" s="27" t="str"/>
      <x:c r="D5" s="27" t="str">
        <x:v>aof.ca</x:v>
      </x:c>
      <x:c r="E5" s="27" t="str">
        <x:v>CA</x:v>
      </x:c>
      <x:c r="F5" s="27" t="str"/>
      <x:c r="G5" s="27" t="str">
        <x:v>Direct foodservice distributor</x:v>
      </x:c>
      <x:c r="H5" s="27" t="str">
        <x:v>Broadline</x:v>
      </x:c>
      <x:c r="I5" s="27" t="str"/>
      <x:c r="J5" s="27" t="str"/>
      <x:c r="K5" s="27" t="str">
        <x:v>Active</x:v>
      </x:c>
      <x:c r="L5" s="27" t="str"/>
      <x:c r="M5" s="27" t="str">
        <x:v>Approved seed</x:v>
      </x:c>
      <x:c r="N5" s="27" t="str">
        <x:v>https://ifdaonline.org/distributor-members/</x:v>
      </x:c>
      <x:c r="O5" s="54" t="n">
        <x:v>46217</x:v>
      </x:c>
    </x:row>
    <x:row r="6">
      <x:c r="A6" s="27" t="str">
        <x:v>capital_foodservice</x:v>
      </x:c>
      <x:c r="B6" s="27" t="str">
        <x:v>Capital Foodservice</x:v>
      </x:c>
      <x:c r="C6" s="27" t="str"/>
      <x:c r="D6" s="27" t="str">
        <x:v>capitalfoodservice.ca</x:v>
      </x:c>
      <x:c r="E6" s="27" t="str">
        <x:v>CA</x:v>
      </x:c>
      <x:c r="F6" s="27" t="str"/>
      <x:c r="G6" s="27" t="str">
        <x:v>Direct foodservice distributor</x:v>
      </x:c>
      <x:c r="H6" s="27" t="str">
        <x:v>Broadline</x:v>
      </x:c>
      <x:c r="I6" s="27" t="str"/>
      <x:c r="J6" s="27" t="str"/>
      <x:c r="K6" s="27" t="str">
        <x:v>Active</x:v>
      </x:c>
      <x:c r="L6" s="27" t="str"/>
      <x:c r="M6" s="27" t="str">
        <x:v>Approved seed</x:v>
      </x:c>
      <x:c r="N6" s="27" t="str">
        <x:v>https://ifdaonline.org/distributor-members/</x:v>
      </x:c>
      <x:c r="O6" s="54" t="n">
        <x:v>46217</x:v>
      </x:c>
    </x:row>
    <x:row r="7">
      <x:c r="A7" s="27" t="str">
        <x:v>centennial_foodservice</x:v>
      </x:c>
      <x:c r="B7" s="27" t="str">
        <x:v>Centennial Foodservice</x:v>
      </x:c>
      <x:c r="C7" s="27" t="str"/>
      <x:c r="D7" s="27" t="str">
        <x:v>centennialfood.com</x:v>
      </x:c>
      <x:c r="E7" s="27" t="str">
        <x:v>CA</x:v>
      </x:c>
      <x:c r="F7" s="27" t="str"/>
      <x:c r="G7" s="27" t="str">
        <x:v>Direct foodservice distributor</x:v>
      </x:c>
      <x:c r="H7" s="27" t="str">
        <x:v>Center-of-plate / broadline</x:v>
      </x:c>
      <x:c r="I7" s="27" t="str"/>
      <x:c r="J7" s="27" t="str"/>
      <x:c r="K7" s="27" t="str">
        <x:v>Active</x:v>
      </x:c>
      <x:c r="L7" s="27" t="str"/>
      <x:c r="M7" s="27" t="str">
        <x:v>Approved seed</x:v>
      </x:c>
      <x:c r="N7" s="27" t="str">
        <x:v>https://ifdaonline.org/distributor-members/</x:v>
      </x:c>
      <x:c r="O7" s="54" t="n">
        <x:v>46217</x:v>
      </x:c>
    </x:row>
    <x:row r="8">
      <x:c r="A8" s="27" t="str">
        <x:v>flanagan_foodservice_inc</x:v>
      </x:c>
      <x:c r="B8" s="27" t="str">
        <x:v>Flanagan Foodservice Inc.</x:v>
      </x:c>
      <x:c r="C8" s="27" t="str"/>
      <x:c r="D8" s="27" t="str">
        <x:v>flanagan.ca</x:v>
      </x:c>
      <x:c r="E8" s="27" t="str">
        <x:v>CA</x:v>
      </x:c>
      <x:c r="F8" s="27" t="str"/>
      <x:c r="G8" s="27" t="str">
        <x:v>Direct foodservice distributor</x:v>
      </x:c>
      <x:c r="H8" s="27" t="str">
        <x:v>Broadline</x:v>
      </x:c>
      <x:c r="I8" s="27" t="str"/>
      <x:c r="J8" s="27" t="str"/>
      <x:c r="K8" s="27" t="str">
        <x:v>Active</x:v>
      </x:c>
      <x:c r="L8" s="27" t="str"/>
      <x:c r="M8" s="27" t="str">
        <x:v>Approved seed</x:v>
      </x:c>
      <x:c r="N8" s="27" t="str">
        <x:v>https://ifdaonline.org/distributor-members/</x:v>
      </x:c>
      <x:c r="O8" s="54" t="n">
        <x:v>46217</x:v>
      </x:c>
    </x:row>
    <x:row r="9">
      <x:c r="A9" s="27" t="str">
        <x:v>greenbridge_foodservice</x:v>
      </x:c>
      <x:c r="B9" s="27" t="str">
        <x:v>Greenbridge Foodservice</x:v>
      </x:c>
      <x:c r="C9" s="27" t="str"/>
      <x:c r="D9" s="27" t="str">
        <x:v>greenbridgefoodservice.ca</x:v>
      </x:c>
      <x:c r="E9" s="27" t="str">
        <x:v>CA</x:v>
      </x:c>
      <x:c r="F9" s="27" t="str"/>
      <x:c r="G9" s="27" t="str">
        <x:v>Distributor network / cooperative</x:v>
      </x:c>
      <x:c r="H9" s="27" t="str">
        <x:v>Distributor sales and marketing network</x:v>
      </x:c>
      <x:c r="I9" s="27" t="str"/>
      <x:c r="J9" s="27" t="str"/>
      <x:c r="K9" s="27" t="str">
        <x:v>Active</x:v>
      </x:c>
      <x:c r="L9" s="27" t="str"/>
      <x:c r="M9" s="27" t="str">
        <x:v>Reference only</x:v>
      </x:c>
      <x:c r="N9" s="27" t="str">
        <x:v>https://ifdaonline.org/distributor-members/</x:v>
      </x:c>
      <x:c r="O9" s="54" t="n">
        <x:v>46217</x:v>
      </x:c>
    </x:row>
    <x:row r="10">
      <x:c r="A10" s="27" t="str">
        <x:v>natures_cargo</x:v>
      </x:c>
      <x:c r="B10" s="27" t="str">
        <x:v>Natures Cargo</x:v>
      </x:c>
      <x:c r="C10" s="27" t="str"/>
      <x:c r="D10" s="27" t="str">
        <x:v>naturescargo.ca</x:v>
      </x:c>
      <x:c r="E10" s="27" t="str">
        <x:v>CA</x:v>
      </x:c>
      <x:c r="F10" s="27" t="str"/>
      <x:c r="G10" s="27" t="str">
        <x:v>Direct foodservice distributor</x:v>
      </x:c>
      <x:c r="H10" s="27" t="str">
        <x:v>Natural / specialty distribution</x:v>
      </x:c>
      <x:c r="I10" s="27" t="str"/>
      <x:c r="J10" s="27" t="str"/>
      <x:c r="K10" s="27" t="str">
        <x:v>Active</x:v>
      </x:c>
      <x:c r="L10" s="27" t="str"/>
      <x:c r="M10" s="27" t="str">
        <x:v>Approved seed</x:v>
      </x:c>
      <x:c r="N10" s="27" t="str">
        <x:v>https://ifdaonline.org/distributor-members/</x:v>
      </x:c>
      <x:c r="O10" s="54" t="n">
        <x:v>46217</x:v>
      </x:c>
    </x:row>
    <x:row r="11">
      <x:c r="A11" s="27" t="str">
        <x:v>mendez_and_co_inc</x:v>
      </x:c>
      <x:c r="B11" s="27" t="str">
        <x:v>Mendez &amp; Co., Inc.</x:v>
      </x:c>
      <x:c r="C11" s="27" t="str"/>
      <x:c r="D11" s="27" t="str">
        <x:v>mendezcopr.com</x:v>
      </x:c>
      <x:c r="E11" s="27" t="str">
        <x:v>PR</x:v>
      </x:c>
      <x:c r="F11" s="27" t="str">
        <x:v>PR</x:v>
      </x:c>
      <x:c r="G11" s="27" t="str">
        <x:v>Direct foodservice distributor</x:v>
      </x:c>
      <x:c r="H11" s="27" t="str">
        <x:v>Broadline / Puerto Rico</x:v>
      </x:c>
      <x:c r="I11" s="27" t="str"/>
      <x:c r="J11" s="27"/>
      <x:c r="K11" s="27" t="str">
        <x:v>Active</x:v>
      </x:c>
      <x:c r="L11" s="27" t="str"/>
      <x:c r="M11" s="27" t="str">
        <x:v>Approved seed</x:v>
      </x:c>
      <x:c r="N11" s="27" t="str">
        <x:v>https://ifdaonline.org/distributor-members/</x:v>
      </x:c>
      <x:c r="O11" s="54" t="n">
        <x:v>46217</x:v>
      </x:c>
    </x:row>
    <x:row r="12">
      <x:c r="A12" s="27" t="str">
        <x:v>amoje_industry</x:v>
      </x:c>
      <x:c r="B12" s="27" t="str">
        <x:v>Amoje Industry</x:v>
      </x:c>
      <x:c r="C12" s="27" t="str"/>
      <x:c r="D12" s="27" t="str">
        <x:v>amojeind.com</x:v>
      </x:c>
      <x:c r="E12" s="27" t="str">
        <x:v>KR</x:v>
      </x:c>
      <x:c r="F12" s="27" t="str"/>
      <x:c r="G12" s="27" t="str">
        <x:v>Direct foodservice distributor</x:v>
      </x:c>
      <x:c r="H12" s="27" t="str">
        <x:v>Foodservice / hospitality supply</x:v>
      </x:c>
      <x:c r="I12" s="27" t="str"/>
      <x:c r="J12" s="27" t="str"/>
      <x:c r="K12" s="27" t="str">
        <x:v>Active</x:v>
      </x:c>
      <x:c r="L12" s="27" t="str"/>
      <x:c r="M12" s="27" t="str">
        <x:v>Approved seed</x:v>
      </x:c>
      <x:c r="N12" s="27" t="str">
        <x:v>https://ifdaonline.org/distributor-members/</x:v>
      </x:c>
      <x:c r="O12" s="54" t="n">
        <x:v>46217</x:v>
      </x:c>
    </x:row>
    <x:row r="13">
      <x:c r="A13" s="27" t="str">
        <x:v>cj_freshway</x:v>
      </x:c>
      <x:c r="B13" s="27" t="str">
        <x:v>CJ Freshway</x:v>
      </x:c>
      <x:c r="C13" s="27" t="str"/>
      <x:c r="D13" s="27" t="str">
        <x:v>cjfreshway.com</x:v>
      </x:c>
      <x:c r="E13" s="27" t="str">
        <x:v>KR</x:v>
      </x:c>
      <x:c r="F13" s="27" t="str"/>
      <x:c r="G13" s="27" t="str">
        <x:v>Direct foodservice distributor</x:v>
      </x:c>
      <x:c r="H13" s="27" t="str">
        <x:v>Food material distribution / contract foodservice</x:v>
      </x:c>
      <x:c r="I13" s="27" t="str"/>
      <x:c r="J13" s="27" t="str"/>
      <x:c r="K13" s="27" t="str">
        <x:v>Active</x:v>
      </x:c>
      <x:c r="L13" s="27" t="str"/>
      <x:c r="M13" s="27" t="str">
        <x:v>Approved seed</x:v>
      </x:c>
      <x:c r="N13" s="27" t="str">
        <x:v>https://ifdaonline.org/distributor-members/</x:v>
      </x:c>
      <x:c r="O13" s="54" t="n">
        <x:v>46217</x:v>
      </x:c>
    </x:row>
    <x:row r="14">
      <x:c r="A14" s="27" t="str">
        <x:v>daesang_bestco</x:v>
      </x:c>
      <x:c r="B14" s="27" t="str">
        <x:v>Daesang BestCo</x:v>
      </x:c>
      <x:c r="C14" s="27" t="str"/>
      <x:c r="D14" s="27" t="str">
        <x:v>edaesang.com</x:v>
      </x:c>
      <x:c r="E14" s="27" t="str">
        <x:v>KR</x:v>
      </x:c>
      <x:c r="F14" s="27" t="str"/>
      <x:c r="G14" s="27" t="str">
        <x:v>Direct foodservice distributor</x:v>
      </x:c>
      <x:c r="H14" s="27" t="str">
        <x:v>Foodservice distribution</x:v>
      </x:c>
      <x:c r="I14" s="27" t="str"/>
      <x:c r="J14" s="27" t="str"/>
      <x:c r="K14" s="27" t="str">
        <x:v>Active</x:v>
      </x:c>
      <x:c r="L14" s="27" t="str"/>
      <x:c r="M14" s="27" t="str">
        <x:v>Approved seed</x:v>
      </x:c>
      <x:c r="N14" s="27" t="str">
        <x:v>https://ifdaonline.org/distributor-members/</x:v>
      </x:c>
      <x:c r="O14" s="54" t="n">
        <x:v>46217</x:v>
      </x:c>
    </x:row>
    <x:row r="15">
      <x:c r="A15" s="27" t="str">
        <x:v>foodmerce_co_ltd</x:v>
      </x:c>
      <x:c r="B15" s="27" t="str">
        <x:v>FOODMERCE Co., LTD</x:v>
      </x:c>
      <x:c r="C15" s="27" t="str"/>
      <x:c r="D15" s="27" t="str">
        <x:v>foodmerce.com</x:v>
      </x:c>
      <x:c r="E15" s="27" t="str">
        <x:v>KR</x:v>
      </x:c>
      <x:c r="F15" s="27" t="str"/>
      <x:c r="G15" s="27" t="str">
        <x:v>Direct foodservice distributor</x:v>
      </x:c>
      <x:c r="H15" s="27" t="str">
        <x:v>Foodservice distribution</x:v>
      </x:c>
      <x:c r="I15" s="27" t="str"/>
      <x:c r="J15" s="27" t="str"/>
      <x:c r="K15" s="27" t="str">
        <x:v>Active</x:v>
      </x:c>
      <x:c r="L15" s="27" t="str"/>
      <x:c r="M15" s="27" t="str">
        <x:v>Approved seed</x:v>
      </x:c>
      <x:c r="N15" s="27" t="str">
        <x:v>https://ifdaonline.org/distributor-members/</x:v>
      </x:c>
      <x:c r="O15" s="54" t="n">
        <x:v>46217</x:v>
      </x:c>
    </x:row>
    <x:row r="16">
      <x:c r="A16" s="27" t="str">
        <x:v>gourmet_f_and_b_korea</x:v>
      </x:c>
      <x:c r="B16" s="27" t="str">
        <x:v>Gourmet F&amp;B Korea</x:v>
      </x:c>
      <x:c r="C16" s="27" t="str"/>
      <x:c r="D16" s="27" t="str">
        <x:v>gourmet.co.kr</x:v>
      </x:c>
      <x:c r="E16" s="27" t="str">
        <x:v>KR</x:v>
      </x:c>
      <x:c r="F16" s="27" t="str"/>
      <x:c r="G16" s="27" t="str">
        <x:v>Direct foodservice distributor</x:v>
      </x:c>
      <x:c r="H16" s="27" t="str">
        <x:v>Specialty food distribution</x:v>
      </x:c>
      <x:c r="I16" s="27" t="str"/>
      <x:c r="J16" s="27" t="str"/>
      <x:c r="K16" s="27" t="str">
        <x:v>Active</x:v>
      </x:c>
      <x:c r="L16" s="27" t="str"/>
      <x:c r="M16" s="27" t="str">
        <x:v>Approved seed</x:v>
      </x:c>
      <x:c r="N16" s="27" t="str">
        <x:v>https://ifdaonline.org/distributor-members/</x:v>
      </x:c>
      <x:c r="O16" s="54" t="n">
        <x:v>46217</x:v>
      </x:c>
    </x:row>
    <x:row r="17">
      <x:c r="A17" s="27" t="str">
        <x:v>m_s_food_system</x:v>
      </x:c>
      <x:c r="B17" s="27" t="str">
        <x:v>M's Food System</x:v>
      </x:c>
      <x:c r="C17" s="27" t="str"/>
      <x:c r="D17" s="27" t="str">
        <x:v>maeil.com</x:v>
      </x:c>
      <x:c r="E17" s="27" t="str">
        <x:v>KR</x:v>
      </x:c>
      <x:c r="F17" s="27" t="str"/>
      <x:c r="G17" s="27" t="str">
        <x:v>Direct foodservice distributor</x:v>
      </x:c>
      <x:c r="H17" s="27" t="str">
        <x:v>Foodservice distribution</x:v>
      </x:c>
      <x:c r="I17" s="27" t="str"/>
      <x:c r="J17" s="27" t="str"/>
      <x:c r="K17" s="27" t="str">
        <x:v>Active</x:v>
      </x:c>
      <x:c r="L17" s="27" t="str"/>
      <x:c r="M17" s="27" t="str">
        <x:v>Approved seed</x:v>
      </x:c>
      <x:c r="N17" s="27" t="str">
        <x:v>https://ifdaonline.org/distributor-members/</x:v>
      </x:c>
      <x:c r="O17" s="54" t="n">
        <x:v>46217</x:v>
      </x:c>
    </x:row>
    <x:row r="18">
      <x:c r="A18" s="27" t="str">
        <x:v>pulmuone_foodmerce</x:v>
      </x:c>
      <x:c r="B18" s="27" t="str">
        <x:v>Pulmuone Foodmerce</x:v>
      </x:c>
      <x:c r="C18" s="27" t="str"/>
      <x:c r="D18" s="27" t="str">
        <x:v>pulstory.pulmuone.com</x:v>
      </x:c>
      <x:c r="E18" s="27" t="str">
        <x:v>KR</x:v>
      </x:c>
      <x:c r="F18" s="27" t="str"/>
      <x:c r="G18" s="27" t="str">
        <x:v>Direct foodservice distributor</x:v>
      </x:c>
      <x:c r="H18" s="27" t="str">
        <x:v>Foodservice distribution</x:v>
      </x:c>
      <x:c r="I18" s="27" t="str"/>
      <x:c r="J18" s="27" t="str"/>
      <x:c r="K18" s="27" t="str">
        <x:v>Active</x:v>
      </x:c>
      <x:c r="L18" s="27" t="str"/>
      <x:c r="M18" s="27" t="str">
        <x:v>Approved seed</x:v>
      </x:c>
      <x:c r="N18" s="27" t="str">
        <x:v>https://ifdaonline.org/distributor-members/</x:v>
      </x:c>
      <x:c r="O18" s="54" t="n">
        <x:v>46217</x:v>
      </x:c>
    </x:row>
    <x:row r="19">
      <x:c r="A19" s="27" t="str">
        <x:v>samsung_welstory</x:v>
      </x:c>
      <x:c r="B19" s="27" t="str">
        <x:v>Samsung Welstory</x:v>
      </x:c>
      <x:c r="C19" s="27" t="str"/>
      <x:c r="D19" s="27" t="str">
        <x:v>samsungwelstory.com</x:v>
      </x:c>
      <x:c r="E19" s="27" t="str">
        <x:v>KR</x:v>
      </x:c>
      <x:c r="F19" s="27" t="str"/>
      <x:c r="G19" s="27" t="str">
        <x:v>Direct foodservice distributor</x:v>
      </x:c>
      <x:c r="H19" s="27" t="str">
        <x:v>Food distribution / contract foodservice</x:v>
      </x:c>
      <x:c r="I19" s="27" t="str"/>
      <x:c r="J19" s="27" t="str"/>
      <x:c r="K19" s="27" t="str">
        <x:v>Active</x:v>
      </x:c>
      <x:c r="L19" s="27" t="str"/>
      <x:c r="M19" s="27" t="str">
        <x:v>Approved seed</x:v>
      </x:c>
      <x:c r="N19" s="27" t="str">
        <x:v>https://ifdaonline.org/distributor-members/</x:v>
      </x:c>
      <x:c r="O19" s="54" t="n">
        <x:v>46217</x:v>
      </x:c>
    </x:row>
    <x:row r="20">
      <x:c r="A20" s="27" t="str">
        <x:v>samyang_corp</x:v>
      </x:c>
      <x:c r="B20" s="27" t="str">
        <x:v>Samyang Corp.</x:v>
      </x:c>
      <x:c r="C20" s="27" t="str"/>
      <x:c r="D20" s="27" t="str">
        <x:v>samyangcorp.com</x:v>
      </x:c>
      <x:c r="E20" s="27" t="str">
        <x:v>KR</x:v>
      </x:c>
      <x:c r="F20" s="27" t="str"/>
      <x:c r="G20" s="27" t="str">
        <x:v>Direct foodservice distributor</x:v>
      </x:c>
      <x:c r="H20" s="27" t="str">
        <x:v>Food ingredients / foodservice</x:v>
      </x:c>
      <x:c r="I20" s="27" t="str"/>
      <x:c r="J20" s="27" t="str"/>
      <x:c r="K20" s="27" t="str">
        <x:v>Active</x:v>
      </x:c>
      <x:c r="L20" s="27" t="str"/>
      <x:c r="M20" s="27" t="str">
        <x:v>Approved seed</x:v>
      </x:c>
      <x:c r="N20" s="27" t="str">
        <x:v>https://ifdaonline.org/distributor-members/</x:v>
      </x:c>
      <x:c r="O20" s="54" t="n">
        <x:v>46217</x:v>
      </x:c>
    </x:row>
    <x:row r="21">
      <x:c r="A21" s="27" t="str">
        <x:v>taekyung_nongsan</x:v>
      </x:c>
      <x:c r="B21" s="27" t="str">
        <x:v>Taekyung Nongsan</x:v>
      </x:c>
      <x:c r="C21" s="27" t="str"/>
      <x:c r="D21" s="27" t="str">
        <x:v>itaekyung.com</x:v>
      </x:c>
      <x:c r="E21" s="27" t="str">
        <x:v>KR</x:v>
      </x:c>
      <x:c r="F21" s="27" t="str"/>
      <x:c r="G21" s="27" t="str">
        <x:v>Direct foodservice distributor</x:v>
      </x:c>
      <x:c r="H21" s="27" t="str">
        <x:v>Food ingredients / distribution</x:v>
      </x:c>
      <x:c r="I21" s="27" t="str"/>
      <x:c r="J21" s="27" t="str"/>
      <x:c r="K21" s="27" t="str">
        <x:v>Active</x:v>
      </x:c>
      <x:c r="L21" s="27" t="str"/>
      <x:c r="M21" s="27" t="str">
        <x:v>Approved seed</x:v>
      </x:c>
      <x:c r="N21" s="27" t="str">
        <x:v>https://ifdaonline.org/distributor-members/</x:v>
      </x:c>
      <x:c r="O21" s="54" t="n">
        <x:v>46217</x:v>
      </x:c>
    </x:row>
    <x:row r="22">
      <x:c r="A22" s="27" t="str">
        <x:v>a_and_b_distributors</x:v>
      </x:c>
      <x:c r="B22" s="27" t="str">
        <x:v>A &amp; B Distributors</x:v>
      </x:c>
      <x:c r="C22" s="27" t="str"/>
      <x:c r="D22" s="27" t="str"/>
      <x:c r="E22" s="27" t="str">
        <x:v>US</x:v>
      </x:c>
      <x:c r="F22" s="27" t="str"/>
      <x:c r="G22" s="27" t="str">
        <x:v>Direct foodservice distributor</x:v>
      </x:c>
      <x:c r="H22" s="27" t="str">
        <x:v>Foodservice distribution</x:v>
      </x:c>
      <x:c r="I22" s="27" t="str"/>
      <x:c r="J22" s="27" t="str"/>
      <x:c r="K22" s="27" t="str">
        <x:v>Active</x:v>
      </x:c>
      <x:c r="L22" s="27" t="str"/>
      <x:c r="M22" s="27" t="str">
        <x:v>Review before seed</x:v>
      </x:c>
      <x:c r="N22" s="27" t="str">
        <x:v>https://www.frostyacres.com/news/4ac8e499-0d33-44d7-adb2-9215a66668ad</x:v>
      </x:c>
      <x:c r="O22" s="54" t="n">
        <x:v>46217</x:v>
      </x:c>
    </x:row>
    <x:row r="23">
      <x:c r="A23" s="27" t="str">
        <x:v>a_f_wendling_s_food_service</x:v>
      </x:c>
      <x:c r="B23" s="27" t="str">
        <x:v>A.F. Wendling's Food Service</x:v>
      </x:c>
      <x:c r="C23" s="27" t="str"/>
      <x:c r="D23" s="27" t="str">
        <x:v>afwendling.com</x:v>
      </x:c>
      <x:c r="E23" s="27" t="str">
        <x:v>US</x:v>
      </x:c>
      <x:c r="F23" s="27" t="str">
        <x:v>WV,VA,PA</x:v>
      </x:c>
      <x:c r="G23" s="27" t="str">
        <x:v>Direct foodservice distributor</x:v>
      </x:c>
      <x:c r="H23" s="27" t="str">
        <x:v>Broadline</x:v>
      </x:c>
      <x:c r="I23" s="27" t="str"/>
      <x:c r="J23" s="27"/>
      <x:c r="K23" s="27" t="str">
        <x:v>Active</x:v>
      </x:c>
      <x:c r="L23" s="27" t="str"/>
      <x:c r="M23" s="27" t="str">
        <x:v>Approved seed</x:v>
      </x:c>
      <x:c r="N23" s="27" t="str">
        <x:v>https://ifdaonline.org/distributor-members/</x:v>
      </x:c>
      <x:c r="O23" s="54" t="n">
        <x:v>46217</x:v>
      </x:c>
    </x:row>
    <x:row r="24">
      <x:c r="A24" s="27" t="str">
        <x:v>ace_endico_corp</x:v>
      </x:c>
      <x:c r="B24" s="27" t="str">
        <x:v>Ace Endico Corp.</x:v>
      </x:c>
      <x:c r="C24" s="27" t="str"/>
      <x:c r="D24" s="27" t="str">
        <x:v>aceendico.com</x:v>
      </x:c>
      <x:c r="E24" s="27" t="str">
        <x:v>US</x:v>
      </x:c>
      <x:c r="F24" s="27" t="str">
        <x:v>ME,NH,VT,MA,RI,CT,NY,NJ,PA</x:v>
      </x:c>
      <x:c r="G24" s="27" t="str">
        <x:v>Direct foodservice distributor</x:v>
      </x:c>
      <x:c r="H24" s="27" t="str">
        <x:v>Italian / specialty broadline</x:v>
      </x:c>
      <x:c r="I24" s="27" t="str"/>
      <x:c r="J24" s="27"/>
      <x:c r="K24" s="27" t="str">
        <x:v>Active</x:v>
      </x:c>
      <x:c r="L24" s="27" t="str"/>
      <x:c r="M24" s="27" t="str">
        <x:v>Approved seed</x:v>
      </x:c>
      <x:c r="N24" s="27" t="str">
        <x:v>https://ifdaonline.org/distributor-members/</x:v>
      </x:c>
      <x:c r="O24" s="54" t="n">
        <x:v>46217</x:v>
      </x:c>
    </x:row>
    <x:row r="25">
      <x:c r="A25" s="27" t="str">
        <x:v>amcon_distributing_company</x:v>
      </x:c>
      <x:c r="B25" s="27" t="str">
        <x:v>AMCON Distributing Company</x:v>
      </x:c>
      <x:c r="C25" s="27" t="str"/>
      <x:c r="D25" s="27" t="str">
        <x:v>amcon.com</x:v>
      </x:c>
      <x:c r="E25" s="27" t="str">
        <x:v>US</x:v>
      </x:c>
      <x:c r="F25" s="27"/>
      <x:c r="G25" s="27" t="str">
        <x:v>Direct foodservice distributor</x:v>
      </x:c>
      <x:c r="H25" s="27" t="str">
        <x:v>Convenience distribution</x:v>
      </x:c>
      <x:c r="I25" s="27" t="str"/>
      <x:c r="J25" s="27"/>
      <x:c r="K25" s="27" t="str">
        <x:v>Active</x:v>
      </x:c>
      <x:c r="L25" s="27" t="str"/>
      <x:c r="M25" s="27" t="str">
        <x:v>Review before seed</x:v>
      </x:c>
      <x:c r="N25" s="27" t="str">
        <x:v>https://ifdaonline.org/distributor-members/</x:v>
      </x:c>
      <x:c r="O25" s="54" t="n">
        <x:v>46217</x:v>
      </x:c>
    </x:row>
    <x:row r="26">
      <x:c r="A26" s="27" t="str">
        <x:v>atlas_wholesale_food_co</x:v>
      </x:c>
      <x:c r="B26" s="27" t="str">
        <x:v>Atlas Wholesale Food Co.</x:v>
      </x:c>
      <x:c r="C26" s="27" t="str"/>
      <x:c r="D26" s="27" t="str">
        <x:v>atlaswholesale.com</x:v>
      </x:c>
      <x:c r="E26" s="27" t="str">
        <x:v>US</x:v>
      </x:c>
      <x:c r="F26" s="27" t="str">
        <x:v>MI</x:v>
      </x:c>
      <x:c r="G26" s="27" t="str">
        <x:v>Direct foodservice distributor</x:v>
      </x:c>
      <x:c r="H26" s="27" t="str">
        <x:v>Broadline</x:v>
      </x:c>
      <x:c r="I26" s="27" t="str"/>
      <x:c r="J26" s="27"/>
      <x:c r="K26" s="27" t="str">
        <x:v>Active</x:v>
      </x:c>
      <x:c r="L26" s="27" t="str"/>
      <x:c r="M26" s="27" t="str">
        <x:v>Review before seed</x:v>
      </x:c>
      <x:c r="N26" s="27" t="str">
        <x:v>https://ifdaonline.org/distributor-members/</x:v>
      </x:c>
      <x:c r="O26" s="54" t="n">
        <x:v>46217</x:v>
      </x:c>
    </x:row>
    <x:row r="27">
      <x:c r="A27" s="27" t="str">
        <x:v>avalon_foodservice_inc</x:v>
      </x:c>
      <x:c r="B27" s="27" t="str">
        <x:v>Avalon Foodservice, Inc.</x:v>
      </x:c>
      <x:c r="C27" s="27" t="str"/>
      <x:c r="D27" s="27" t="str">
        <x:v>avalonfoods.com</x:v>
      </x:c>
      <x:c r="E27" s="27" t="str">
        <x:v>US</x:v>
      </x:c>
      <x:c r="F27" s="27" t="str">
        <x:v>OH,PA,WV</x:v>
      </x:c>
      <x:c r="G27" s="27" t="str">
        <x:v>Direct foodservice distributor</x:v>
      </x:c>
      <x:c r="H27" s="27" t="str">
        <x:v>Broadline</x:v>
      </x:c>
      <x:c r="I27" s="27" t="str"/>
      <x:c r="J27" s="27"/>
      <x:c r="K27" s="27" t="str">
        <x:v>Active</x:v>
      </x:c>
      <x:c r="L27" s="27" t="str"/>
      <x:c r="M27" s="27" t="str">
        <x:v>Approved seed</x:v>
      </x:c>
      <x:c r="N27" s="27" t="str">
        <x:v>https://ifdaonline.org/distributor-members/</x:v>
      </x:c>
      <x:c r="O27" s="54" t="n">
        <x:v>46217</x:v>
      </x:c>
    </x:row>
    <x:row r="28">
      <x:c r="A28" s="27" t="str">
        <x:v>baily_foodservice</x:v>
      </x:c>
      <x:c r="B28" s="27" t="str">
        <x:v>Baily Foodservice</x:v>
      </x:c>
      <x:c r="C28" s="27" t="str"/>
      <x:c r="D28" s="27" t="str">
        <x:v>bailyatl.com</x:v>
      </x:c>
      <x:c r="E28" s="27" t="str">
        <x:v>US</x:v>
      </x:c>
      <x:c r="F28" s="27" t="str">
        <x:v>GA</x:v>
      </x:c>
      <x:c r="G28" s="27" t="str">
        <x:v>Direct foodservice distributor</x:v>
      </x:c>
      <x:c r="H28" s="27" t="str">
        <x:v>Broadline</x:v>
      </x:c>
      <x:c r="I28" s="27" t="str"/>
      <x:c r="J28" s="27"/>
      <x:c r="K28" s="27" t="str">
        <x:v>Active</x:v>
      </x:c>
      <x:c r="L28" s="27" t="str"/>
      <x:c r="M28" s="27" t="str">
        <x:v>Review before seed</x:v>
      </x:c>
      <x:c r="N28" s="27" t="str">
        <x:v>https://ifdaonline.org/distributor-members/</x:v>
      </x:c>
      <x:c r="O28" s="54" t="n">
        <x:v>46217</x:v>
      </x:c>
    </x:row>
    <x:row r="29">
      <x:c r="A29" s="27" t="str">
        <x:v>baker_s_authority</x:v>
      </x:c>
      <x:c r="B29" s="27" t="str">
        <x:v>Baker's Authority</x:v>
      </x:c>
      <x:c r="C29" s="27" t="str"/>
      <x:c r="D29" s="27" t="str">
        <x:v>bakersauthority.com</x:v>
      </x:c>
      <x:c r="E29" s="27" t="str">
        <x:v>US</x:v>
      </x:c>
      <x:c r="F29" s="27"/>
      <x:c r="G29" s="27" t="str">
        <x:v>Online / e-commerce purveyor</x:v>
      </x:c>
      <x:c r="H29" s="27" t="str">
        <x:v>Bakery ingredients / online</x:v>
      </x:c>
      <x:c r="I29" s="27" t="str"/>
      <x:c r="J29" s="27"/>
      <x:c r="K29" s="27" t="str">
        <x:v>Active</x:v>
      </x:c>
      <x:c r="L29" s="27" t="str"/>
      <x:c r="M29" s="27" t="str">
        <x:v>Approved seed</x:v>
      </x:c>
      <x:c r="N29" s="27" t="str">
        <x:v>https://www.bakersauthority.com</x:v>
      </x:c>
      <x:c r="O29" s="54" t="n">
        <x:v>46217</x:v>
      </x:c>
    </x:row>
    <x:row r="30">
      <x:c r="A30" s="27" t="str">
        <x:v>baldor_specialty_foods</x:v>
      </x:c>
      <x:c r="B30" s="27" t="str">
        <x:v>Baldor Specialty Foods</x:v>
      </x:c>
      <x:c r="C30" s="27" t="str"/>
      <x:c r="D30" s="27" t="str">
        <x:v>baldorfood.com</x:v>
      </x:c>
      <x:c r="E30" s="27" t="str">
        <x:v>US</x:v>
      </x:c>
      <x:c r="F30" s="27" t="str">
        <x:v>NY,NJ,CT,MA,RI,PA,DE,MD,DC,VA</x:v>
      </x:c>
      <x:c r="G30" s="27" t="str">
        <x:v>Direct foodservice distributor</x:v>
      </x:c>
      <x:c r="H30" s="27" t="str">
        <x:v>Produce / specialty</x:v>
      </x:c>
      <x:c r="I30" s="27" t="str">
        <x:v>baldor_portal</x:v>
      </x:c>
      <x:c r="J30" s="27" t="str">
        <x:v>https://www.baldorfood.com/sign-in</x:v>
      </x:c>
      <x:c r="K30" s="27" t="str">
        <x:v>Active</x:v>
      </x:c>
      <x:c r="L30" s="27" t="str"/>
      <x:c r="M30" s="27" t="str">
        <x:v>Approved seed</x:v>
      </x:c>
      <x:c r="N30" s="27" t="str">
        <x:v>https://www.baldorfood.com/sign-in</x:v>
      </x:c>
      <x:c r="O30" s="54" t="n">
        <x:v>46217</x:v>
      </x:c>
    </x:row>
    <x:row r="31">
      <x:c r="A31" s="27" t="str">
        <x:v>balford</x:v>
      </x:c>
      <x:c r="B31" s="27" t="str">
        <x:v>Balford</x:v>
      </x:c>
      <x:c r="C31" s="27" t="str"/>
      <x:c r="D31" s="27" t="str">
        <x:v>balford.com</x:v>
      </x:c>
      <x:c r="E31" s="27" t="str">
        <x:v>US</x:v>
      </x:c>
      <x:c r="F31" s="27" t="str">
        <x:v>PA,NJ,DE,MD</x:v>
      </x:c>
      <x:c r="G31" s="27" t="str">
        <x:v>Direct foodservice distributor</x:v>
      </x:c>
      <x:c r="H31" s="27" t="str">
        <x:v>Dairy / foodservice</x:v>
      </x:c>
      <x:c r="I31" s="27" t="str"/>
      <x:c r="J31" s="27"/>
      <x:c r="K31" s="27" t="str">
        <x:v>Active</x:v>
      </x:c>
      <x:c r="L31" s="27" t="str"/>
      <x:c r="M31" s="27" t="str">
        <x:v>Review before seed</x:v>
      </x:c>
      <x:c r="N31" s="27" t="str">
        <x:v>https://ifdaonline.org/distributor-members/</x:v>
      </x:c>
      <x:c r="O31" s="54" t="n">
        <x:v>46217</x:v>
      </x:c>
    </x:row>
    <x:row r="32">
      <x:c r="A32" s="27" t="str">
        <x:v>ben_e_keith_foods</x:v>
      </x:c>
      <x:c r="B32" s="27" t="str">
        <x:v>Ben E. Keith Foods</x:v>
      </x:c>
      <x:c r="C32" s="27" t="str"/>
      <x:c r="D32" s="27" t="str">
        <x:v>benekeith.com</x:v>
      </x:c>
      <x:c r="E32" s="27" t="str">
        <x:v>US</x:v>
      </x:c>
      <x:c r="F32" s="27" t="str">
        <x:v>AL,AR,AZ,FL,GA,KS,LA,MO,MS,NM,OK,SC,TN,TX</x:v>
      </x:c>
      <x:c r="G32" s="27" t="str">
        <x:v>Direct foodservice distributor</x:v>
      </x:c>
      <x:c r="H32" s="27" t="str">
        <x:v>Broadline</x:v>
      </x:c>
      <x:c r="I32" s="27" t="str">
        <x:v>ben_e_keith_entree</x:v>
      </x:c>
      <x:c r="J32" s="27" t="str">
        <x:v>https://www.bekentree.com/</x:v>
      </x:c>
      <x:c r="K32" s="27" t="str">
        <x:v>Active</x:v>
      </x:c>
      <x:c r="L32" s="27" t="str"/>
      <x:c r="M32" s="27" t="str">
        <x:v>Approved seed</x:v>
      </x:c>
      <x:c r="N32" s="27" t="str">
        <x:v>https://www.benekeith.com/food/resources/online/entree-system/</x:v>
      </x:c>
      <x:c r="O32" s="54" t="n">
        <x:v>46217</x:v>
      </x:c>
    </x:row>
    <x:row r="33">
      <x:c r="A33" s="27" t="str">
        <x:v>birite_foodservice_distributors</x:v>
      </x:c>
      <x:c r="B33" s="27" t="str">
        <x:v>BiRite Foodservice Distributors</x:v>
      </x:c>
      <x:c r="C33" s="27" t="str"/>
      <x:c r="D33" s="27" t="str">
        <x:v>birite.com</x:v>
      </x:c>
      <x:c r="E33" s="27" t="str">
        <x:v>US</x:v>
      </x:c>
      <x:c r="F33" s="27" t="str">
        <x:v>CA</x:v>
      </x:c>
      <x:c r="G33" s="27" t="str">
        <x:v>Direct foodservice distributor</x:v>
      </x:c>
      <x:c r="H33" s="27" t="str">
        <x:v>Broadline</x:v>
      </x:c>
      <x:c r="I33" s="27" t="str"/>
      <x:c r="J33" s="27"/>
      <x:c r="K33" s="27" t="str">
        <x:v>Active</x:v>
      </x:c>
      <x:c r="L33" s="27" t="str"/>
      <x:c r="M33" s="27" t="str">
        <x:v>Approved seed</x:v>
      </x:c>
      <x:c r="N33" s="27" t="str">
        <x:v>https://ifdaonline.org/distributor-members/</x:v>
      </x:c>
      <x:c r="O33" s="54" t="n">
        <x:v>46217</x:v>
      </x:c>
    </x:row>
    <x:row r="34">
      <x:c r="A34" s="27" t="str">
        <x:v>brown_foodservice_inc</x:v>
      </x:c>
      <x:c r="B34" s="27" t="str">
        <x:v>Brown Foodservice, Inc.</x:v>
      </x:c>
      <x:c r="C34" s="27" t="str"/>
      <x:c r="D34" s="27" t="str">
        <x:v>brownfoodservice.com</x:v>
      </x:c>
      <x:c r="E34" s="27" t="str">
        <x:v>US</x:v>
      </x:c>
      <x:c r="F34" s="27" t="str">
        <x:v>KY,WV,OH,VA,TN,IN</x:v>
      </x:c>
      <x:c r="G34" s="27" t="str">
        <x:v>Direct foodservice distributor</x:v>
      </x:c>
      <x:c r="H34" s="27" t="str">
        <x:v>Broadline</x:v>
      </x:c>
      <x:c r="I34" s="27" t="str"/>
      <x:c r="J34" s="27"/>
      <x:c r="K34" s="27" t="str">
        <x:v>Active</x:v>
      </x:c>
      <x:c r="L34" s="27" t="str"/>
      <x:c r="M34" s="27" t="str">
        <x:v>Review before seed</x:v>
      </x:c>
      <x:c r="N34" s="27" t="str">
        <x:v>https://ifdaonline.org/distributor-members/</x:v>
      </x:c>
      <x:c r="O34" s="54" t="n">
        <x:v>46217</x:v>
      </x:c>
    </x:row>
    <x:row r="35">
      <x:c r="A35" s="27" t="str">
        <x:v>burlington_distributing_company</x:v>
      </x:c>
      <x:c r="B35" s="27" t="str">
        <x:v>Burlington Distributing Company</x:v>
      </x:c>
      <x:c r="C35" s="27" t="str"/>
      <x:c r="D35" s="27" t="str">
        <x:v>biscuitville.com</x:v>
      </x:c>
      <x:c r="E35" s="27" t="str">
        <x:v>US</x:v>
      </x:c>
      <x:c r="F35" s="27"/>
      <x:c r="G35" s="27" t="str">
        <x:v>Closed or contract supply system</x:v>
      </x:c>
      <x:c r="H35" s="27" t="str">
        <x:v>Closed-system / chain supply</x:v>
      </x:c>
      <x:c r="I35" s="27" t="str"/>
      <x:c r="J35" s="27"/>
      <x:c r="K35" s="27" t="str">
        <x:v>Active</x:v>
      </x:c>
      <x:c r="L35" s="27" t="str"/>
      <x:c r="M35" s="27" t="str">
        <x:v>Reference only</x:v>
      </x:c>
      <x:c r="N35" s="27" t="str">
        <x:v>https://ifdaonline.org/distributor-members/</x:v>
      </x:c>
      <x:c r="O35" s="54" t="n">
        <x:v>46217</x:v>
      </x:c>
    </x:row>
    <x:row r="36">
      <x:c r="A36" s="27" t="str">
        <x:v>c_and_s_wholesale_grocers</x:v>
      </x:c>
      <x:c r="B36" s="27" t="str">
        <x:v>C&amp;S Wholesale Grocers</x:v>
      </x:c>
      <x:c r="C36" s="27" t="str"/>
      <x:c r="D36" s="27" t="str">
        <x:v>cswg.com</x:v>
      </x:c>
      <x:c r="E36" s="27" t="str">
        <x:v>US</x:v>
      </x:c>
      <x:c r="F36" s="27"/>
      <x:c r="G36" s="27" t="str">
        <x:v>Direct foodservice distributor</x:v>
      </x:c>
      <x:c r="H36" s="27" t="str">
        <x:v>Grocery wholesale</x:v>
      </x:c>
      <x:c r="I36" s="27" t="str"/>
      <x:c r="J36" s="27"/>
      <x:c r="K36" s="27" t="str">
        <x:v>Active</x:v>
      </x:c>
      <x:c r="L36" s="27" t="str"/>
      <x:c r="M36" s="27" t="str">
        <x:v>Approved seed</x:v>
      </x:c>
      <x:c r="N36" s="27" t="str">
        <x:v>https://www.cswg.com</x:v>
      </x:c>
      <x:c r="O36" s="54" t="n">
        <x:v>46217</x:v>
      </x:c>
    </x:row>
    <x:row r="37">
      <x:c r="A37" s="27" t="str">
        <x:v>capitol_distributing</x:v>
      </x:c>
      <x:c r="B37" s="27" t="str">
        <x:v>Capitol Distributing</x:v>
      </x:c>
      <x:c r="C37" s="27" t="str"/>
      <x:c r="D37" s="27" t="str">
        <x:v>capitoldist.com</x:v>
      </x:c>
      <x:c r="E37" s="27" t="str">
        <x:v>US</x:v>
      </x:c>
      <x:c r="F37" s="27" t="str">
        <x:v>ID,OR,WA,UT,MT,NV</x:v>
      </x:c>
      <x:c r="G37" s="27" t="str">
        <x:v>Direct foodservice distributor</x:v>
      </x:c>
      <x:c r="H37" s="27" t="str">
        <x:v>Convenience / foodservice</x:v>
      </x:c>
      <x:c r="I37" s="27" t="str"/>
      <x:c r="J37" s="27"/>
      <x:c r="K37" s="27" t="str">
        <x:v>Active</x:v>
      </x:c>
      <x:c r="L37" s="27" t="str"/>
      <x:c r="M37" s="27" t="str">
        <x:v>Review before seed</x:v>
      </x:c>
      <x:c r="N37" s="27" t="str">
        <x:v>https://ifdaonline.org/distributor-members/</x:v>
      </x:c>
      <x:c r="O37" s="54" t="n">
        <x:v>46217</x:v>
      </x:c>
    </x:row>
    <x:row r="38">
      <x:c r="A38" s="27" t="str">
        <x:v>carlo_masi_sons_and_daughter</x:v>
      </x:c>
      <x:c r="B38" s="27" t="str">
        <x:v>Carlo Masi Sons and Daughter</x:v>
      </x:c>
      <x:c r="C38" s="27" t="str"/>
      <x:c r="D38" s="27" t="str"/>
      <x:c r="E38" s="27" t="str">
        <x:v>US</x:v>
      </x:c>
      <x:c r="F38" s="27" t="str"/>
      <x:c r="G38" s="27" t="str">
        <x:v>Direct foodservice distributor</x:v>
      </x:c>
      <x:c r="H38" s="27" t="str">
        <x:v>Italian and specialty food distribution</x:v>
      </x:c>
      <x:c r="I38" s="27" t="str"/>
      <x:c r="J38" s="27" t="str"/>
      <x:c r="K38" s="27" t="str">
        <x:v>Active</x:v>
      </x:c>
      <x:c r="L38" s="27" t="str"/>
      <x:c r="M38" s="27" t="str">
        <x:v>Review before seed</x:v>
      </x:c>
      <x:c r="N38" s="27" t="str">
        <x:v>https://golbon.com/press/</x:v>
      </x:c>
      <x:c r="O38" s="54" t="n">
        <x:v>46217</x:v>
      </x:c>
    </x:row>
    <x:row r="39">
      <x:c r="A39" s="27" t="str">
        <x:v>carolina_food_service_of_loris</x:v>
      </x:c>
      <x:c r="B39" s="27" t="str">
        <x:v>Carolina Food Service of Loris</x:v>
      </x:c>
      <x:c r="C39" s="27" t="str"/>
      <x:c r="D39" s="27" t="str">
        <x:v>carolinafoodservice.com</x:v>
      </x:c>
      <x:c r="E39" s="27" t="str">
        <x:v>US</x:v>
      </x:c>
      <x:c r="F39" s="27" t="str">
        <x:v>NC,SC</x:v>
      </x:c>
      <x:c r="G39" s="27" t="str">
        <x:v>Direct foodservice distributor</x:v>
      </x:c>
      <x:c r="H39" s="27" t="str">
        <x:v>Broadline</x:v>
      </x:c>
      <x:c r="I39" s="27" t="str"/>
      <x:c r="J39" s="27"/>
      <x:c r="K39" s="27" t="str">
        <x:v>Active</x:v>
      </x:c>
      <x:c r="L39" s="27" t="str"/>
      <x:c r="M39" s="27" t="str">
        <x:v>Approved seed</x:v>
      </x:c>
      <x:c r="N39" s="27" t="str">
        <x:v>https://ifdaonline.org/distributor-members/</x:v>
      </x:c>
      <x:c r="O39" s="54" t="n">
        <x:v>46217</x:v>
      </x:c>
    </x:row>
    <x:row r="40">
      <x:c r="A40" s="27" t="str">
        <x:v>cash_wa_distributing</x:v>
      </x:c>
      <x:c r="B40" s="27" t="str">
        <x:v>Cash-Wa Distributing</x:v>
      </x:c>
      <x:c r="C40" s="27" t="str"/>
      <x:c r="D40" s="27" t="str">
        <x:v>web.cashwa.com</x:v>
      </x:c>
      <x:c r="E40" s="27" t="str">
        <x:v>US</x:v>
      </x:c>
      <x:c r="F40" s="27" t="str">
        <x:v>NE,CO,WY,KS,OK,MO,IA,MN,SD,ND</x:v>
      </x:c>
      <x:c r="G40" s="27" t="str">
        <x:v>Direct foodservice distributor</x:v>
      </x:c>
      <x:c r="H40" s="27" t="str">
        <x:v>Broadline</x:v>
      </x:c>
      <x:c r="I40" s="27" t="str"/>
      <x:c r="J40" s="27" t="str">
        <x:v>https://portal2.ftnirdc.com/en/cswa</x:v>
      </x:c>
      <x:c r="K40" s="27" t="str">
        <x:v>Active</x:v>
      </x:c>
      <x:c r="L40" s="27" t="str"/>
      <x:c r="M40" s="27" t="str">
        <x:v>Approved seed</x:v>
      </x:c>
      <x:c r="N40" s="27" t="str">
        <x:v>https://web.cashwa.com/customer-portal</x:v>
      </x:c>
      <x:c r="O40" s="54" t="n">
        <x:v>46217</x:v>
      </x:c>
    </x:row>
    <x:row r="41">
      <x:c r="A41" s="27" t="str">
        <x:v>cheney_brothers_inc</x:v>
      </x:c>
      <x:c r="B41" s="27" t="str">
        <x:v>Cheney Brothers, Inc.</x:v>
      </x:c>
      <x:c r="C41" s="27" t="str"/>
      <x:c r="D41" s="27" t="str">
        <x:v>cheneybrothers.com</x:v>
      </x:c>
      <x:c r="E41" s="27" t="str">
        <x:v>US</x:v>
      </x:c>
      <x:c r="F41" s="27" t="str">
        <x:v>FL,GA,NC,SC</x:v>
      </x:c>
      <x:c r="G41" s="27" t="str">
        <x:v>Direct foodservice distributor</x:v>
      </x:c>
      <x:c r="H41" s="27" t="str">
        <x:v>Broadline</x:v>
      </x:c>
      <x:c r="I41" s="27" t="str">
        <x:v>cheney_central</x:v>
      </x:c>
      <x:c r="J41" s="27" t="str">
        <x:v>https://www.cheneycentral.com/</x:v>
      </x:c>
      <x:c r="K41" s="27" t="str">
        <x:v>Active subsidiary / operating brand</x:v>
      </x:c>
      <x:c r="L41" s="27" t="str">
        <x:v>Performance Food Group</x:v>
      </x:c>
      <x:c r="M41" s="27" t="str">
        <x:v>Approved seed</x:v>
      </x:c>
      <x:c r="N41" s="27" t="str">
        <x:v>https://www.cheneybrothers.com/services/cheney-central/</x:v>
      </x:c>
      <x:c r="O41" s="54" t="n">
        <x:v>46217</x:v>
      </x:c>
    </x:row>
    <x:row r="42">
      <x:c r="A42" s="27" t="str">
        <x:v>chick_fil_a_supply</x:v>
      </x:c>
      <x:c r="B42" s="27" t="str">
        <x:v>Chick-fil-A Supply</x:v>
      </x:c>
      <x:c r="C42" s="27" t="str"/>
      <x:c r="D42" s="27" t="str">
        <x:v>cfa-supply.com</x:v>
      </x:c>
      <x:c r="E42" s="27" t="str">
        <x:v>US</x:v>
      </x:c>
      <x:c r="F42" s="27"/>
      <x:c r="G42" s="27" t="str">
        <x:v>Closed or contract supply system</x:v>
      </x:c>
      <x:c r="H42" s="27" t="str">
        <x:v>Closed-system / chain supply</x:v>
      </x:c>
      <x:c r="I42" s="27" t="str"/>
      <x:c r="J42" s="27"/>
      <x:c r="K42" s="27" t="str">
        <x:v>Active</x:v>
      </x:c>
      <x:c r="L42" s="27" t="str"/>
      <x:c r="M42" s="27" t="str">
        <x:v>Reference only</x:v>
      </x:c>
      <x:c r="N42" s="27" t="str">
        <x:v>https://ifdaonline.org/distributor-members/</x:v>
      </x:c>
      <x:c r="O42" s="54" t="n">
        <x:v>46217</x:v>
      </x:c>
    </x:row>
    <x:row r="43">
      <x:c r="A43" s="27" t="str">
        <x:v>christ_panos_foods_corporation</x:v>
      </x:c>
      <x:c r="B43" s="27" t="str">
        <x:v>Christ Panos Foods Corporation</x:v>
      </x:c>
      <x:c r="C43" s="27" t="str"/>
      <x:c r="D43" s="27" t="str">
        <x:v>panosfoods.com</x:v>
      </x:c>
      <x:c r="E43" s="27" t="str">
        <x:v>US</x:v>
      </x:c>
      <x:c r="F43" s="27" t="str">
        <x:v>IL,IN,WI</x:v>
      </x:c>
      <x:c r="G43" s="27" t="str">
        <x:v>Direct foodservice distributor</x:v>
      </x:c>
      <x:c r="H43" s="27" t="str">
        <x:v>Broadline / specialty</x:v>
      </x:c>
      <x:c r="I43" s="27" t="str"/>
      <x:c r="J43" s="27"/>
      <x:c r="K43" s="27" t="str">
        <x:v>Active</x:v>
      </x:c>
      <x:c r="L43" s="27" t="str"/>
      <x:c r="M43" s="27" t="str">
        <x:v>Review before seed</x:v>
      </x:c>
      <x:c r="N43" s="27" t="str">
        <x:v>https://ifdaonline.org/distributor-members/</x:v>
      </x:c>
      <x:c r="O43" s="54" t="n">
        <x:v>46217</x:v>
      </x:c>
    </x:row>
    <x:row r="44">
      <x:c r="A44" s="27" t="str">
        <x:v>city_line_distributors</x:v>
      </x:c>
      <x:c r="B44" s="27" t="str">
        <x:v>City Line Distributors</x:v>
      </x:c>
      <x:c r="C44" s="27" t="str"/>
      <x:c r="D44" s="27" t="str">
        <x:v>citylinefoods.com</x:v>
      </x:c>
      <x:c r="E44" s="27" t="str">
        <x:v>US</x:v>
      </x:c>
      <x:c r="F44" s="27" t="str">
        <x:v>CT,MA,NY,RI</x:v>
      </x:c>
      <x:c r="G44" s="27" t="str">
        <x:v>Direct foodservice distributor</x:v>
      </x:c>
      <x:c r="H44" s="27" t="str">
        <x:v>Broadline</x:v>
      </x:c>
      <x:c r="I44" s="27" t="str"/>
      <x:c r="J44" s="27"/>
      <x:c r="K44" s="27" t="str">
        <x:v>Active</x:v>
      </x:c>
      <x:c r="L44" s="27" t="str"/>
      <x:c r="M44" s="27" t="str">
        <x:v>Review before seed</x:v>
      </x:c>
      <x:c r="N44" s="27" t="str">
        <x:v>https://ifdaonline.org/distributor-members/</x:v>
      </x:c>
      <x:c r="O44" s="54" t="n">
        <x:v>46217</x:v>
      </x:c>
    </x:row>
    <x:row r="45">
      <x:c r="A45" s="27" t="str">
        <x:v>core_mark</x:v>
      </x:c>
      <x:c r="B45" s="27" t="str">
        <x:v>Core-Mark</x:v>
      </x:c>
      <x:c r="C45" s="27" t="str"/>
      <x:c r="D45" s="27" t="str">
        <x:v>core-mark.com</x:v>
      </x:c>
      <x:c r="E45" s="27" t="str">
        <x:v>US</x:v>
      </x:c>
      <x:c r="F45" s="27"/>
      <x:c r="G45" s="27" t="str">
        <x:v>Direct foodservice distributor</x:v>
      </x:c>
      <x:c r="H45" s="27" t="str">
        <x:v>Convenience distribution / PFG</x:v>
      </x:c>
      <x:c r="I45" s="27" t="str"/>
      <x:c r="J45" s="27"/>
      <x:c r="K45" s="27" t="str">
        <x:v>Active subsidiary / operating brand</x:v>
      </x:c>
      <x:c r="L45" s="27" t="str">
        <x:v>Performance Food Group</x:v>
      </x:c>
      <x:c r="M45" s="27" t="str">
        <x:v>Approved seed</x:v>
      </x:c>
      <x:c r="N45" s="27" t="str">
        <x:v>https://www.core-mark.com</x:v>
      </x:c>
      <x:c r="O45" s="54" t="n">
        <x:v>46217</x:v>
      </x:c>
    </x:row>
    <x:row r="46">
      <x:c r="A46" s="27" t="str">
        <x:v>cotati_food_service</x:v>
      </x:c>
      <x:c r="B46" s="27" t="str">
        <x:v>Cotati Food Service</x:v>
      </x:c>
      <x:c r="C46" s="27" t="str"/>
      <x:c r="D46" s="27" t="str">
        <x:v>cotatifoodservice.com</x:v>
      </x:c>
      <x:c r="E46" s="27" t="str">
        <x:v>US</x:v>
      </x:c>
      <x:c r="F46" s="27" t="str">
        <x:v>CA</x:v>
      </x:c>
      <x:c r="G46" s="27" t="str">
        <x:v>Direct foodservice distributor</x:v>
      </x:c>
      <x:c r="H46" s="27" t="str">
        <x:v>Broadline</x:v>
      </x:c>
      <x:c r="I46" s="27" t="str"/>
      <x:c r="J46" s="27"/>
      <x:c r="K46" s="27" t="str">
        <x:v>Active</x:v>
      </x:c>
      <x:c r="L46" s="27" t="str"/>
      <x:c r="M46" s="27" t="str">
        <x:v>Approved seed</x:v>
      </x:c>
      <x:c r="N46" s="27" t="str">
        <x:v>https://ifdaonline.org/distributor-members/</x:v>
      </x:c>
      <x:c r="O46" s="54" t="n">
        <x:v>46217</x:v>
      </x:c>
    </x:row>
    <x:row r="47">
      <x:c r="A47" s="27" t="str">
        <x:v>cottonwood_distribution</x:v>
      </x:c>
      <x:c r="B47" s="27" t="str">
        <x:v>Cottonwood Distribution</x:v>
      </x:c>
      <x:c r="C47" s="27" t="str"/>
      <x:c r="D47" s="27" t="str"/>
      <x:c r="E47" s="27" t="str">
        <x:v>US</x:v>
      </x:c>
      <x:c r="F47" s="27" t="str"/>
      <x:c r="G47" s="27" t="str">
        <x:v>Direct foodservice distributor</x:v>
      </x:c>
      <x:c r="H47" s="27" t="str">
        <x:v>Foodservice distribution</x:v>
      </x:c>
      <x:c r="I47" s="27" t="str"/>
      <x:c r="J47" s="27" t="str"/>
      <x:c r="K47" s="27" t="str">
        <x:v>Active</x:v>
      </x:c>
      <x:c r="L47" s="27" t="str"/>
      <x:c r="M47" s="27" t="str">
        <x:v>Review before seed</x:v>
      </x:c>
      <x:c r="N47" s="27" t="str">
        <x:v>https://golbon.com/press/</x:v>
      </x:c>
      <x:c r="O47" s="54" t="n">
        <x:v>46217</x:v>
      </x:c>
    </x:row>
    <x:row r="48">
      <x:c r="A48" s="27" t="str">
        <x:v>crs_onesource</x:v>
      </x:c>
      <x:c r="B48" s="27" t="str">
        <x:v>CRS OneSource</x:v>
      </x:c>
      <x:c r="C48" s="27" t="str"/>
      <x:c r="D48" s="27" t="str">
        <x:v>crsonesource.com</x:v>
      </x:c>
      <x:c r="E48" s="27" t="str">
        <x:v>US</x:v>
      </x:c>
      <x:c r="F48" s="27" t="str">
        <x:v>IL,MO,IN,IA</x:v>
      </x:c>
      <x:c r="G48" s="27" t="str">
        <x:v>Direct foodservice distributor</x:v>
      </x:c>
      <x:c r="H48" s="27" t="str">
        <x:v>Broadline</x:v>
      </x:c>
      <x:c r="I48" s="27" t="str"/>
      <x:c r="J48" s="27"/>
      <x:c r="K48" s="27" t="str">
        <x:v>Active</x:v>
      </x:c>
      <x:c r="L48" s="27" t="str"/>
      <x:c r="M48" s="27" t="str">
        <x:v>Review before seed</x:v>
      </x:c>
      <x:c r="N48" s="27" t="str">
        <x:v>https://ifdaonline.org/distributor-members/</x:v>
      </x:c>
      <x:c r="O48" s="54" t="n">
        <x:v>46217</x:v>
      </x:c>
    </x:row>
    <x:row r="49">
      <x:c r="A49" s="27" t="str">
        <x:v>curtze_food_service</x:v>
      </x:c>
      <x:c r="B49" s="27" t="str">
        <x:v>Curtze Food Service</x:v>
      </x:c>
      <x:c r="C49" s="27" t="str"/>
      <x:c r="D49" s="27" t="str">
        <x:v>curtze.com</x:v>
      </x:c>
      <x:c r="E49" s="27" t="str">
        <x:v>US</x:v>
      </x:c>
      <x:c r="F49" s="27" t="str">
        <x:v>PA,NY,VA,WV,OH,MI,IN,KY,MD</x:v>
      </x:c>
      <x:c r="G49" s="27" t="str">
        <x:v>Direct foodservice distributor</x:v>
      </x:c>
      <x:c r="H49" s="27" t="str">
        <x:v>Broadline</x:v>
      </x:c>
      <x:c r="I49" s="27" t="str"/>
      <x:c r="J49" s="27"/>
      <x:c r="K49" s="27" t="str">
        <x:v>Active</x:v>
      </x:c>
      <x:c r="L49" s="27" t="str"/>
      <x:c r="M49" s="27" t="str">
        <x:v>Approved seed</x:v>
      </x:c>
      <x:c r="N49" s="27" t="str">
        <x:v>https://ifdaonline.org/distributor-members/</x:v>
      </x:c>
      <x:c r="O49" s="54" t="n">
        <x:v>46217</x:v>
      </x:c>
    </x:row>
    <x:row r="50">
      <x:c r="A50" s="27" t="str">
        <x:v>d_artagnan</x:v>
      </x:c>
      <x:c r="B50" s="27" t="str">
        <x:v>D'Artagnan</x:v>
      </x:c>
      <x:c r="C50" s="27" t="str"/>
      <x:c r="D50" s="27" t="str">
        <x:v>dartagnan.com</x:v>
      </x:c>
      <x:c r="E50" s="27" t="str">
        <x:v>US</x:v>
      </x:c>
      <x:c r="F50" s="27"/>
      <x:c r="G50" s="27" t="str">
        <x:v>Direct foodservice distributor</x:v>
      </x:c>
      <x:c r="H50" s="27" t="str">
        <x:v>Meat / specialty</x:v>
      </x:c>
      <x:c r="I50" s="27" t="str"/>
      <x:c r="J50" s="27"/>
      <x:c r="K50" s="27" t="str">
        <x:v>Active</x:v>
      </x:c>
      <x:c r="L50" s="27" t="str"/>
      <x:c r="M50" s="27" t="str">
        <x:v>Approved seed</x:v>
      </x:c>
      <x:c r="N50" s="27" t="str">
        <x:v>https://www.dartagnan.com</x:v>
      </x:c>
      <x:c r="O50" s="54" t="n">
        <x:v>46217</x:v>
      </x:c>
    </x:row>
    <x:row r="51">
      <x:c r="A51" s="27" t="str">
        <x:v>dawn_food_products</x:v>
      </x:c>
      <x:c r="B51" s="27" t="str">
        <x:v>Dawn Food Products</x:v>
      </x:c>
      <x:c r="C51" s="27" t="str"/>
      <x:c r="D51" s="27" t="str">
        <x:v>dawnfoods.com</x:v>
      </x:c>
      <x:c r="E51" s="27" t="str">
        <x:v>US</x:v>
      </x:c>
      <x:c r="F51" s="27"/>
      <x:c r="G51" s="27" t="str">
        <x:v>Direct foodservice distributor</x:v>
      </x:c>
      <x:c r="H51" s="27" t="str">
        <x:v>Bakery ingredients</x:v>
      </x:c>
      <x:c r="I51" s="27" t="str"/>
      <x:c r="J51" s="27"/>
      <x:c r="K51" s="27" t="str">
        <x:v>Active</x:v>
      </x:c>
      <x:c r="L51" s="27" t="str"/>
      <x:c r="M51" s="27" t="str">
        <x:v>Approved seed</x:v>
      </x:c>
      <x:c r="N51" s="27" t="str">
        <x:v>https://ifdaonline.org/distributor-members/</x:v>
      </x:c>
      <x:c r="O51" s="54" t="n">
        <x:v>46217</x:v>
      </x:c>
    </x:row>
    <x:row r="52">
      <x:c r="A52" s="27" t="str">
        <x:v>dbh_distributing_hunt_brothers_pizza</x:v>
      </x:c>
      <x:c r="B52" s="27" t="str">
        <x:v>DBH Distributing / Hunt Brothers Pizza</x:v>
      </x:c>
      <x:c r="C52" s="27" t="str">
        <x:v>DBH Distributing LLC | Hunt Brothers Pizza</x:v>
      </x:c>
      <x:c r="D52" s="27" t="str">
        <x:v>huntbrotherspizza.com</x:v>
      </x:c>
      <x:c r="E52" s="27" t="str">
        <x:v>US</x:v>
      </x:c>
      <x:c r="F52" s="27"/>
      <x:c r="G52" s="27" t="str">
        <x:v>Closed or contract supply system</x:v>
      </x:c>
      <x:c r="H52" s="27" t="str">
        <x:v>Closed-system / pizza program</x:v>
      </x:c>
      <x:c r="I52" s="27" t="str"/>
      <x:c r="J52" s="27"/>
      <x:c r="K52" s="27" t="str">
        <x:v>Active</x:v>
      </x:c>
      <x:c r="L52" s="27" t="str"/>
      <x:c r="M52" s="27" t="str">
        <x:v>Reference only</x:v>
      </x:c>
      <x:c r="N52" s="27" t="str">
        <x:v>https://ifdaonline.org/distributor-members/</x:v>
      </x:c>
      <x:c r="O52" s="54" t="n">
        <x:v>46217</x:v>
      </x:c>
    </x:row>
    <x:row r="53">
      <x:c r="A53" s="27" t="str">
        <x:v>dennis_food_service</x:v>
      </x:c>
      <x:c r="B53" s="27" t="str">
        <x:v>Dennis Food Service</x:v>
      </x:c>
      <x:c r="C53" s="27" t="str"/>
      <x:c r="D53" s="27" t="str">
        <x:v>dennisfoodservice.com</x:v>
      </x:c>
      <x:c r="E53" s="27" t="str">
        <x:v>US</x:v>
      </x:c>
      <x:c r="F53" s="27" t="str">
        <x:v>ME,NH</x:v>
      </x:c>
      <x:c r="G53" s="27" t="str">
        <x:v>Direct foodservice distributor</x:v>
      </x:c>
      <x:c r="H53" s="27" t="str">
        <x:v>Broadline</x:v>
      </x:c>
      <x:c r="I53" s="27" t="str"/>
      <x:c r="J53" s="27"/>
      <x:c r="K53" s="27" t="str">
        <x:v>Active</x:v>
      </x:c>
      <x:c r="L53" s="27" t="str"/>
      <x:c r="M53" s="27" t="str">
        <x:v>Approved seed</x:v>
      </x:c>
      <x:c r="N53" s="27" t="str">
        <x:v>https://ifdaonline.org/distributor-members/</x:v>
      </x:c>
      <x:c r="O53" s="54" t="n">
        <x:v>46217</x:v>
      </x:c>
    </x:row>
    <x:row r="54">
      <x:c r="A54" s="27" t="str">
        <x:v>diaz_wholesale_and_manufacturing</x:v>
      </x:c>
      <x:c r="B54" s="27" t="str">
        <x:v>Diaz Wholesale &amp; Manufacturing</x:v>
      </x:c>
      <x:c r="C54" s="27" t="str"/>
      <x:c r="D54" s="27" t="str">
        <x:v>diazfoods.com</x:v>
      </x:c>
      <x:c r="E54" s="27" t="str">
        <x:v>US</x:v>
      </x:c>
      <x:c r="F54" s="27" t="str">
        <x:v>GA,VA,NJ</x:v>
      </x:c>
      <x:c r="G54" s="27" t="str">
        <x:v>Direct foodservice distributor</x:v>
      </x:c>
      <x:c r="H54" s="27" t="str">
        <x:v>Hispanic / specialty broadline</x:v>
      </x:c>
      <x:c r="I54" s="27" t="str"/>
      <x:c r="J54" s="27"/>
      <x:c r="K54" s="27" t="str">
        <x:v>Active</x:v>
      </x:c>
      <x:c r="L54" s="27" t="str"/>
      <x:c r="M54" s="27" t="str">
        <x:v>Approved seed</x:v>
      </x:c>
      <x:c r="N54" s="27" t="str">
        <x:v>https://ifdaonline.org/distributor-members/</x:v>
      </x:c>
      <x:c r="O54" s="54" t="n">
        <x:v>46217</x:v>
      </x:c>
    </x:row>
    <x:row r="55">
      <x:c r="A55" s="27" t="str">
        <x:v>dicarlo_distributors_inc</x:v>
      </x:c>
      <x:c r="B55" s="27" t="str">
        <x:v>DiCarlo Distributors, Inc.</x:v>
      </x:c>
      <x:c r="C55" s="27" t="str"/>
      <x:c r="D55" s="27" t="str">
        <x:v>dicarlofood.com</x:v>
      </x:c>
      <x:c r="E55" s="27" t="str">
        <x:v>US</x:v>
      </x:c>
      <x:c r="F55" s="27" t="str">
        <x:v>MA,CT,NY,NJ,PA,DE,MD,DC</x:v>
      </x:c>
      <x:c r="G55" s="27" t="str">
        <x:v>Direct foodservice distributor</x:v>
      </x:c>
      <x:c r="H55" s="27" t="str">
        <x:v>Italian / broadline</x:v>
      </x:c>
      <x:c r="I55" s="27" t="str"/>
      <x:c r="J55" s="27"/>
      <x:c r="K55" s="27" t="str">
        <x:v>Active</x:v>
      </x:c>
      <x:c r="L55" s="27" t="str"/>
      <x:c r="M55" s="27" t="str">
        <x:v>Approved seed</x:v>
      </x:c>
      <x:c r="N55" s="27" t="str">
        <x:v>https://ifdaonline.org/distributor-members/</x:v>
      </x:c>
      <x:c r="O55" s="54" t="n">
        <x:v>46217</x:v>
      </x:c>
    </x:row>
    <x:row r="56">
      <x:c r="A56" s="27" t="str">
        <x:v>distribution_market_advantage</x:v>
      </x:c>
      <x:c r="B56" s="27" t="str">
        <x:v>Distribution Market Advantage</x:v>
      </x:c>
      <x:c r="C56" s="27" t="str"/>
      <x:c r="D56" s="27" t="str">
        <x:v>dmadelivers.com</x:v>
      </x:c>
      <x:c r="E56" s="27" t="str">
        <x:v>US</x:v>
      </x:c>
      <x:c r="F56" s="27"/>
      <x:c r="G56" s="27" t="str">
        <x:v>Distributor network / cooperative</x:v>
      </x:c>
      <x:c r="H56" s="27" t="str">
        <x:v>Distributor network</x:v>
      </x:c>
      <x:c r="I56" s="27" t="str"/>
      <x:c r="J56" s="27"/>
      <x:c r="K56" s="27" t="str">
        <x:v>Active</x:v>
      </x:c>
      <x:c r="L56" s="27" t="str"/>
      <x:c r="M56" s="27" t="str">
        <x:v>Reference only</x:v>
      </x:c>
      <x:c r="N56" s="27" t="str">
        <x:v>https://ifdaonline.org/distributor-members/</x:v>
      </x:c>
      <x:c r="O56" s="54" t="n">
        <x:v>46217</x:v>
      </x:c>
    </x:row>
    <x:row r="57">
      <x:c r="A57" s="27" t="str">
        <x:v>divine_specialties</x:v>
      </x:c>
      <x:c r="B57" s="27" t="str">
        <x:v>Divine Specialties</x:v>
      </x:c>
      <x:c r="C57" s="27" t="str"/>
      <x:c r="D57" s="27" t="str">
        <x:v>divinespecialties.com</x:v>
      </x:c>
      <x:c r="E57" s="27" t="str">
        <x:v>US</x:v>
      </x:c>
      <x:c r="F57" s="27" t="str">
        <x:v>CA</x:v>
      </x:c>
      <x:c r="G57" s="27" t="str">
        <x:v>Direct foodservice distributor</x:v>
      </x:c>
      <x:c r="H57" s="27" t="str">
        <x:v>Bakery, chocolate and specialty ingredients</x:v>
      </x:c>
      <x:c r="I57" s="27" t="str">
        <x:v>public_ecommerce</x:v>
      </x:c>
      <x:c r="J57" s="27" t="str">
        <x:v>https://www.divinespecialties.com/product-category/shop-online/</x:v>
      </x:c>
      <x:c r="K57" s="27" t="str">
        <x:v>Active</x:v>
      </x:c>
      <x:c r="L57" s="27" t="str"/>
      <x:c r="M57" s="27" t="str">
        <x:v>Approved seed</x:v>
      </x:c>
      <x:c r="N57" s="27" t="str">
        <x:v>https://golbon.com/press/golbon-welcomes-new-member-divine-specialties/</x:v>
      </x:c>
      <x:c r="O57" s="54" t="n">
        <x:v>46217</x:v>
      </x:c>
    </x:row>
    <x:row r="58">
      <x:c r="A58" s="27" t="str">
        <x:v>dot_foods_inc</x:v>
      </x:c>
      <x:c r="B58" s="27" t="str">
        <x:v>Dot Foods, Inc.</x:v>
      </x:c>
      <x:c r="C58" s="27" t="str"/>
      <x:c r="D58" s="27" t="str">
        <x:v>dotfoods.com</x:v>
      </x:c>
      <x:c r="E58" s="27" t="str">
        <x:v>US</x:v>
      </x:c>
      <x:c r="F58" s="27"/>
      <x:c r="G58" s="27" t="str">
        <x:v>Redistributor</x:v>
      </x:c>
      <x:c r="H58" s="27" t="str">
        <x:v>Redistributor</x:v>
      </x:c>
      <x:c r="I58" s="27" t="str"/>
      <x:c r="J58" s="27"/>
      <x:c r="K58" s="27" t="str">
        <x:v>Active</x:v>
      </x:c>
      <x:c r="L58" s="27" t="str"/>
      <x:c r="M58" s="27" t="str">
        <x:v>Reference only</x:v>
      </x:c>
      <x:c r="N58" s="27" t="str">
        <x:v>https://ifdaonline.org/distributor-members/</x:v>
      </x:c>
      <x:c r="O58" s="54" t="n">
        <x:v>46217</x:v>
      </x:c>
    </x:row>
    <x:row r="59">
      <x:c r="A59" s="27" t="str">
        <x:v>driscoll_foods</x:v>
      </x:c>
      <x:c r="B59" s="27" t="str">
        <x:v>Driscoll Foods</x:v>
      </x:c>
      <x:c r="C59" s="27" t="str"/>
      <x:c r="D59" s="27" t="str">
        <x:v>driscollfoods.com</x:v>
      </x:c>
      <x:c r="E59" s="27" t="str">
        <x:v>US</x:v>
      </x:c>
      <x:c r="F59" s="27" t="str">
        <x:v>NJ,NY,PA,CT</x:v>
      </x:c>
      <x:c r="G59" s="27" t="str">
        <x:v>Direct foodservice distributor</x:v>
      </x:c>
      <x:c r="H59" s="27" t="str">
        <x:v>Broadline</x:v>
      </x:c>
      <x:c r="I59" s="27" t="str"/>
      <x:c r="J59" s="27"/>
      <x:c r="K59" s="27" t="str">
        <x:v>Active</x:v>
      </x:c>
      <x:c r="L59" s="27" t="str"/>
      <x:c r="M59" s="27" t="str">
        <x:v>Approved seed</x:v>
      </x:c>
      <x:c r="N59" s="27" t="str">
        <x:v>https://ifdaonline.org/distributor-members/</x:v>
      </x:c>
      <x:c r="O59" s="54" t="n">
        <x:v>46217</x:v>
      </x:c>
    </x:row>
    <x:row r="60">
      <x:c r="A60" s="27" t="str">
        <x:v>emaco_food_services</x:v>
      </x:c>
      <x:c r="B60" s="27" t="str">
        <x:v>Emaco Food Services</x:v>
      </x:c>
      <x:c r="C60" s="27" t="str"/>
      <x:c r="D60" s="27" t="str">
        <x:v>emacofs.com</x:v>
      </x:c>
      <x:c r="E60" s="27" t="str">
        <x:v>US</x:v>
      </x:c>
      <x:c r="F60" s="27" t="str">
        <x:v>LA</x:v>
      </x:c>
      <x:c r="G60" s="27" t="str">
        <x:v>Direct foodservice distributor</x:v>
      </x:c>
      <x:c r="H60" s="27" t="str">
        <x:v>Broadline land and marine food distribution</x:v>
      </x:c>
      <x:c r="I60" s="27" t="str"/>
      <x:c r="J60" s="27" t="str"/>
      <x:c r="K60" s="27" t="str">
        <x:v>Active</x:v>
      </x:c>
      <x:c r="L60" s="27" t="str"/>
      <x:c r="M60" s="27" t="str">
        <x:v>Approved seed</x:v>
      </x:c>
      <x:c r="N60" s="27" t="str">
        <x:v>https://golbon.com/press/golbon-welcomes-new-member-emaco-food-services/</x:v>
      </x:c>
      <x:c r="O60" s="54" t="n">
        <x:v>46217</x:v>
      </x:c>
    </x:row>
    <x:row r="61">
      <x:c r="A61" s="27" t="str">
        <x:v>euclid_fish_company</x:v>
      </x:c>
      <x:c r="B61" s="27" t="str">
        <x:v>Euclid Fish Company</x:v>
      </x:c>
      <x:c r="C61" s="27" t="str"/>
      <x:c r="D61" s="27" t="str">
        <x:v>euclidfish.com</x:v>
      </x:c>
      <x:c r="E61" s="27" t="str">
        <x:v>US</x:v>
      </x:c>
      <x:c r="F61" s="27" t="str">
        <x:v>OH,MI,PA,NY</x:v>
      </x:c>
      <x:c r="G61" s="27" t="str">
        <x:v>Direct foodservice distributor</x:v>
      </x:c>
      <x:c r="H61" s="27" t="str">
        <x:v>Seafood / specialty</x:v>
      </x:c>
      <x:c r="I61" s="27" t="str"/>
      <x:c r="J61" s="27"/>
      <x:c r="K61" s="27" t="str">
        <x:v>Active</x:v>
      </x:c>
      <x:c r="L61" s="27" t="str"/>
      <x:c r="M61" s="27" t="str">
        <x:v>Review before seed</x:v>
      </x:c>
      <x:c r="N61" s="27" t="str">
        <x:v>https://ifdaonline.org/distributor-members/</x:v>
      </x:c>
      <x:c r="O61" s="54" t="n">
        <x:v>46217</x:v>
      </x:c>
    </x:row>
    <x:row r="62">
      <x:c r="A62" s="27" t="str">
        <x:v>evco_wholesale_food_corp</x:v>
      </x:c>
      <x:c r="B62" s="27" t="str">
        <x:v>EVCO Wholesale Food Corp.</x:v>
      </x:c>
      <x:c r="C62" s="27" t="str"/>
      <x:c r="D62" s="27" t="str">
        <x:v>evcofoods.com</x:v>
      </x:c>
      <x:c r="E62" s="27" t="str">
        <x:v>US</x:v>
      </x:c>
      <x:c r="F62" s="27" t="str">
        <x:v>CA,NV,AZ</x:v>
      </x:c>
      <x:c r="G62" s="27" t="str">
        <x:v>Direct foodservice distributor</x:v>
      </x:c>
      <x:c r="H62" s="27" t="str">
        <x:v>Broadline</x:v>
      </x:c>
      <x:c r="I62" s="27" t="str"/>
      <x:c r="J62" s="27"/>
      <x:c r="K62" s="27" t="str">
        <x:v>Active</x:v>
      </x:c>
      <x:c r="L62" s="27" t="str"/>
      <x:c r="M62" s="27" t="str">
        <x:v>Review before seed</x:v>
      </x:c>
      <x:c r="N62" s="27" t="str">
        <x:v>https://ifdaonline.org/distributor-members/</x:v>
      </x:c>
      <x:c r="O62" s="54" t="n">
        <x:v>46217</x:v>
      </x:c>
    </x:row>
    <x:row r="63">
      <x:c r="A63" s="27" t="str">
        <x:v>f_and_a_food_sales_inc</x:v>
      </x:c>
      <x:c r="B63" s="27" t="str">
        <x:v>F &amp; A Food Sales, Inc.</x:v>
      </x:c>
      <x:c r="C63" s="27" t="str"/>
      <x:c r="D63" s="27" t="str">
        <x:v>fafoodsales.com</x:v>
      </x:c>
      <x:c r="E63" s="27" t="str">
        <x:v>US</x:v>
      </x:c>
      <x:c r="F63" s="27" t="str">
        <x:v>MA,CT,RI,NH</x:v>
      </x:c>
      <x:c r="G63" s="27" t="str">
        <x:v>Direct foodservice distributor</x:v>
      </x:c>
      <x:c r="H63" s="27" t="str">
        <x:v>Specialty / wholesale</x:v>
      </x:c>
      <x:c r="I63" s="27" t="str"/>
      <x:c r="J63" s="27"/>
      <x:c r="K63" s="27" t="str">
        <x:v>Active</x:v>
      </x:c>
      <x:c r="L63" s="27" t="str"/>
      <x:c r="M63" s="27" t="str">
        <x:v>Review before seed</x:v>
      </x:c>
      <x:c r="N63" s="27" t="str">
        <x:v>https://ifdaonline.org/distributor-members/</x:v>
      </x:c>
      <x:c r="O63" s="54" t="n">
        <x:v>46217</x:v>
      </x:c>
    </x:row>
    <x:row r="64">
      <x:c r="A64" s="27" t="str">
        <x:v>federated_foodservice</x:v>
      </x:c>
      <x:c r="B64" s="27" t="str">
        <x:v>Federated Foodservice</x:v>
      </x:c>
      <x:c r="C64" s="27" t="str"/>
      <x:c r="D64" s="27" t="str">
        <x:v>federatedfoodservice.com</x:v>
      </x:c>
      <x:c r="E64" s="27" t="str">
        <x:v>US</x:v>
      </x:c>
      <x:c r="F64" s="27"/>
      <x:c r="G64" s="27" t="str">
        <x:v>Distributor network / cooperative</x:v>
      </x:c>
      <x:c r="H64" s="27" t="str">
        <x:v>Distributor network</x:v>
      </x:c>
      <x:c r="I64" s="27" t="str"/>
      <x:c r="J64" s="27"/>
      <x:c r="K64" s="27" t="str">
        <x:v>Active</x:v>
      </x:c>
      <x:c r="L64" s="27" t="str"/>
      <x:c r="M64" s="27" t="str">
        <x:v>Reference only</x:v>
      </x:c>
      <x:c r="N64" s="27" t="str">
        <x:v>https://ifdaonline.org/distributor-members/</x:v>
      </x:c>
      <x:c r="O64" s="54" t="n">
        <x:v>46217</x:v>
      </x:c>
    </x:row>
    <x:row r="65">
      <x:c r="A65" s="27" t="str">
        <x:v>feeser_s_inc</x:v>
      </x:c>
      <x:c r="B65" s="27" t="str">
        <x:v>Feeser's, Inc.</x:v>
      </x:c>
      <x:c r="C65" s="27" t="str"/>
      <x:c r="D65" s="27" t="str">
        <x:v>feesers.com</x:v>
      </x:c>
      <x:c r="E65" s="27" t="str">
        <x:v>US</x:v>
      </x:c>
      <x:c r="F65" s="27" t="str">
        <x:v>PA,NJ,DE,MD,NY,VA,WV,DC</x:v>
      </x:c>
      <x:c r="G65" s="27" t="str">
        <x:v>Direct foodservice distributor</x:v>
      </x:c>
      <x:c r="H65" s="27" t="str">
        <x:v>Broadline</x:v>
      </x:c>
      <x:c r="I65" s="27" t="str"/>
      <x:c r="J65" s="27"/>
      <x:c r="K65" s="27" t="str">
        <x:v>Active</x:v>
      </x:c>
      <x:c r="L65" s="27" t="str"/>
      <x:c r="M65" s="27" t="str">
        <x:v>Approved seed</x:v>
      </x:c>
      <x:c r="N65" s="27" t="str">
        <x:v>https://ifdaonline.org/distributor-members/</x:v>
      </x:c>
      <x:c r="O65" s="54" t="n">
        <x:v>46217</x:v>
      </x:c>
    </x:row>
    <x:row r="66">
      <x:c r="A66" s="27" t="str">
        <x:v>food_supply_inc</x:v>
      </x:c>
      <x:c r="B66" s="27" t="str">
        <x:v>Food Supply, Inc.</x:v>
      </x:c>
      <x:c r="C66" s="27" t="str"/>
      <x:c r="D66" s="27" t="str">
        <x:v>foodsupply.com</x:v>
      </x:c>
      <x:c r="E66" s="27" t="str">
        <x:v>US</x:v>
      </x:c>
      <x:c r="F66" s="27" t="str">
        <x:v>SC,NC,GA</x:v>
      </x:c>
      <x:c r="G66" s="27" t="str">
        <x:v>Direct foodservice distributor</x:v>
      </x:c>
      <x:c r="H66" s="27" t="str">
        <x:v>Broadline / specialty</x:v>
      </x:c>
      <x:c r="I66" s="27" t="str"/>
      <x:c r="J66" s="27"/>
      <x:c r="K66" s="27" t="str">
        <x:v>Active</x:v>
      </x:c>
      <x:c r="L66" s="27" t="str"/>
      <x:c r="M66" s="27" t="str">
        <x:v>Review before seed</x:v>
      </x:c>
      <x:c r="N66" s="27" t="str">
        <x:v>https://ifdaonline.org/distributor-members/</x:v>
      </x:c>
      <x:c r="O66" s="54" t="n">
        <x:v>46217</x:v>
      </x:c>
    </x:row>
    <x:row r="67">
      <x:c r="A67" s="27" t="str">
        <x:v>foodist</x:v>
      </x:c>
      <x:c r="B67" s="27" t="str">
        <x:v>Foodist</x:v>
      </x:c>
      <x:c r="C67" s="27" t="str"/>
      <x:c r="D67" s="27" t="str">
        <x:v>efoodist.com</x:v>
      </x:c>
      <x:c r="E67" s="27" t="str">
        <x:v>US</x:v>
      </x:c>
      <x:c r="F67" s="27"/>
      <x:c r="G67" s="27" t="str">
        <x:v>Online / e-commerce purveyor</x:v>
      </x:c>
      <x:c r="H67" s="27" t="str">
        <x:v>Online / specialty</x:v>
      </x:c>
      <x:c r="I67" s="27" t="str"/>
      <x:c r="J67" s="27"/>
      <x:c r="K67" s="27" t="str">
        <x:v>Active</x:v>
      </x:c>
      <x:c r="L67" s="27" t="str"/>
      <x:c r="M67" s="27" t="str">
        <x:v>Approved seed</x:v>
      </x:c>
      <x:c r="N67" s="27" t="str">
        <x:v>https://ifdaonline.org/distributor-members/</x:v>
      </x:c>
      <x:c r="O67" s="54" t="n">
        <x:v>46217</x:v>
      </x:c>
    </x:row>
    <x:row r="68">
      <x:c r="A68" s="27" t="str">
        <x:v>foodpro</x:v>
      </x:c>
      <x:c r="B68" s="27" t="str">
        <x:v>FoodPRO</x:v>
      </x:c>
      <x:c r="C68" s="27" t="str"/>
      <x:c r="D68" s="27" t="str">
        <x:v>myfoodpro.com</x:v>
      </x:c>
      <x:c r="E68" s="27" t="str">
        <x:v>US</x:v>
      </x:c>
      <x:c r="F68" s="27" t="str">
        <x:v>MD,VA,PA,WV,DC</x:v>
      </x:c>
      <x:c r="G68" s="27" t="str">
        <x:v>Direct foodservice distributor</x:v>
      </x:c>
      <x:c r="H68" s="27" t="str">
        <x:v>Broadline</x:v>
      </x:c>
      <x:c r="I68" s="27" t="str"/>
      <x:c r="J68" s="27"/>
      <x:c r="K68" s="27" t="str">
        <x:v>Active</x:v>
      </x:c>
      <x:c r="L68" s="27" t="str"/>
      <x:c r="M68" s="27" t="str">
        <x:v>Review before seed</x:v>
      </x:c>
      <x:c r="N68" s="27" t="str">
        <x:v>https://ifdaonline.org/distributor-members/</x:v>
      </x:c>
      <x:c r="O68" s="54" t="n">
        <x:v>46217</x:v>
      </x:c>
    </x:row>
    <x:row r="69">
      <x:c r="A69" s="27" t="str">
        <x:v>foodservicedirect</x:v>
      </x:c>
      <x:c r="B69" s="27" t="str">
        <x:v>FoodServiceDirect</x:v>
      </x:c>
      <x:c r="C69" s="27" t="str"/>
      <x:c r="D69" s="27" t="str">
        <x:v>foodservicedirect.com</x:v>
      </x:c>
      <x:c r="E69" s="27" t="str">
        <x:v>US</x:v>
      </x:c>
      <x:c r="F69" s="27"/>
      <x:c r="G69" s="27" t="str">
        <x:v>Online / e-commerce purveyor</x:v>
      </x:c>
      <x:c r="H69" s="27" t="str">
        <x:v>Online foodservice retailer</x:v>
      </x:c>
      <x:c r="I69" s="27" t="str">
        <x:v>public_ecommerce</x:v>
      </x:c>
      <x:c r="J69" s="27" t="str">
        <x:v>https://www.foodservicedirect.com/</x:v>
      </x:c>
      <x:c r="K69" s="27" t="str">
        <x:v>Active</x:v>
      </x:c>
      <x:c r="L69" s="27" t="str"/>
      <x:c r="M69" s="27" t="str">
        <x:v>Approved seed</x:v>
      </x:c>
      <x:c r="N69" s="27" t="str">
        <x:v>https://www.foodservicedirect.com/</x:v>
      </x:c>
      <x:c r="O69" s="54" t="n">
        <x:v>46217</x:v>
      </x:c>
    </x:row>
    <x:row r="70">
      <x:c r="A70" s="27" t="str">
        <x:v>freshpoint</x:v>
      </x:c>
      <x:c r="B70" s="27" t="str">
        <x:v>FreshPoint</x:v>
      </x:c>
      <x:c r="C70" s="27" t="str"/>
      <x:c r="D70" s="27" t="str">
        <x:v>freshpoint.com</x:v>
      </x:c>
      <x:c r="E70" s="27" t="str">
        <x:v>US</x:v>
      </x:c>
      <x:c r="F70" s="27" t="str">
        <x:v>AZ,CA,CO,FL,GA,NC,SC,TN,TX,WA</x:v>
      </x:c>
      <x:c r="G70" s="27" t="str">
        <x:v>Direct foodservice distributor</x:v>
      </x:c>
      <x:c r="H70" s="27" t="str">
        <x:v>Produce / Sysco subsidiary</x:v>
      </x:c>
      <x:c r="I70" s="27" t="str">
        <x:v>my_freshpoint</x:v>
      </x:c>
      <x:c r="J70" s="27" t="str">
        <x:v>https://myfreshpoint.com/</x:v>
      </x:c>
      <x:c r="K70" s="27" t="str">
        <x:v>Active subsidiary / operating brand</x:v>
      </x:c>
      <x:c r="L70" s="27" t="str">
        <x:v>Sysco Corporation</x:v>
      </x:c>
      <x:c r="M70" s="27" t="str">
        <x:v>Approved seed</x:v>
      </x:c>
      <x:c r="N70" s="27" t="str">
        <x:v>https://www.freshpoint.com/centralflorida/</x:v>
      </x:c>
      <x:c r="O70" s="54" t="n">
        <x:v>46217</x:v>
      </x:c>
    </x:row>
    <x:row r="71">
      <x:c r="A71" s="27" t="str">
        <x:v>frosty_acres_brands</x:v>
      </x:c>
      <x:c r="B71" s="27" t="str">
        <x:v>Frosty Acres Brands</x:v>
      </x:c>
      <x:c r="C71" s="27" t="str"/>
      <x:c r="D71" s="27" t="str">
        <x:v>frostyacres.com</x:v>
      </x:c>
      <x:c r="E71" s="27" t="str">
        <x:v>US</x:v>
      </x:c>
      <x:c r="F71" s="27"/>
      <x:c r="G71" s="27" t="str">
        <x:v>Distributor network / cooperative</x:v>
      </x:c>
      <x:c r="H71" s="27" t="str">
        <x:v>Distributor cooperative</x:v>
      </x:c>
      <x:c r="I71" s="27" t="str"/>
      <x:c r="J71" s="27"/>
      <x:c r="K71" s="27" t="str">
        <x:v>Active</x:v>
      </x:c>
      <x:c r="L71" s="27" t="str"/>
      <x:c r="M71" s="27" t="str">
        <x:v>Reference only</x:v>
      </x:c>
      <x:c r="N71" s="27" t="str">
        <x:v>https://ifdaonline.org/distributor-members/</x:v>
      </x:c>
      <x:c r="O71" s="54" t="n">
        <x:v>46217</x:v>
      </x:c>
    </x:row>
    <x:row r="72">
      <x:c r="A72" s="27" t="str">
        <x:v>fuchs_foodservice_pizza_specialties</x:v>
      </x:c>
      <x:c r="B72" s="27" t="str">
        <x:v>Fuchs Foodservice / Pizza Specialties</x:v>
      </x:c>
      <x:c r="C72" s="27" t="str"/>
      <x:c r="D72" s="27" t="str">
        <x:v>pizzaspecialtiesinc.com</x:v>
      </x:c>
      <x:c r="E72" s="27" t="str">
        <x:v>US</x:v>
      </x:c>
      <x:c r="F72" s="27" t="str">
        <x:v>WI,IL,MN,IA,MI</x:v>
      </x:c>
      <x:c r="G72" s="27" t="str">
        <x:v>Direct foodservice distributor</x:v>
      </x:c>
      <x:c r="H72" s="27" t="str">
        <x:v>Pizza / specialty</x:v>
      </x:c>
      <x:c r="I72" s="27" t="str"/>
      <x:c r="J72" s="27"/>
      <x:c r="K72" s="27" t="str">
        <x:v>Active</x:v>
      </x:c>
      <x:c r="L72" s="27" t="str"/>
      <x:c r="M72" s="27" t="str">
        <x:v>Review before seed</x:v>
      </x:c>
      <x:c r="N72" s="27" t="str">
        <x:v>https://ifdaonline.org/distributor-members/</x:v>
      </x:c>
      <x:c r="O72" s="54" t="n">
        <x:v>46217</x:v>
      </x:c>
    </x:row>
    <x:row r="73">
      <x:c r="A73" s="27" t="str">
        <x:v>g_and_c_foods</x:v>
      </x:c>
      <x:c r="B73" s="27" t="str">
        <x:v>G &amp; C Foods</x:v>
      </x:c>
      <x:c r="C73" s="27" t="str"/>
      <x:c r="D73" s="27" t="str">
        <x:v>gcfoods.com</x:v>
      </x:c>
      <x:c r="E73" s="27" t="str">
        <x:v>US</x:v>
      </x:c>
      <x:c r="F73" s="27"/>
      <x:c r="G73" s="27" t="str">
        <x:v>Redistributor</x:v>
      </x:c>
      <x:c r="H73" s="27" t="str">
        <x:v>Redistributor / specialty</x:v>
      </x:c>
      <x:c r="I73" s="27" t="str"/>
      <x:c r="J73" s="27"/>
      <x:c r="K73" s="27" t="str">
        <x:v>Active</x:v>
      </x:c>
      <x:c r="L73" s="27" t="str"/>
      <x:c r="M73" s="27" t="str">
        <x:v>Reference only</x:v>
      </x:c>
      <x:c r="N73" s="27" t="str">
        <x:v>https://ifdaonline.org/distributor-members/</x:v>
      </x:c>
      <x:c r="O73" s="54" t="n">
        <x:v>46217</x:v>
      </x:c>
    </x:row>
    <x:row r="74">
      <x:c r="A74" s="27" t="str">
        <x:v>ginsberg_s_foods</x:v>
      </x:c>
      <x:c r="B74" s="27" t="str">
        <x:v>Ginsberg's Foods</x:v>
      </x:c>
      <x:c r="C74" s="27" t="str"/>
      <x:c r="D74" s="27" t="str">
        <x:v>ginsbergs.com</x:v>
      </x:c>
      <x:c r="E74" s="27" t="str">
        <x:v>US</x:v>
      </x:c>
      <x:c r="F74" s="27" t="str">
        <x:v>NY,VT,MA,CT,PA</x:v>
      </x:c>
      <x:c r="G74" s="27" t="str">
        <x:v>Direct foodservice distributor</x:v>
      </x:c>
      <x:c r="H74" s="27" t="str">
        <x:v>Broadline</x:v>
      </x:c>
      <x:c r="I74" s="27" t="str">
        <x:v>food_order_entry</x:v>
      </x:c>
      <x:c r="J74" s="27" t="str">
        <x:v>https://ginsbergsorder.com/</x:v>
      </x:c>
      <x:c r="K74" s="27" t="str">
        <x:v>Active</x:v>
      </x:c>
      <x:c r="L74" s="27" t="str"/>
      <x:c r="M74" s="27" t="str">
        <x:v>Approved seed</x:v>
      </x:c>
      <x:c r="N74" s="27" t="str">
        <x:v>https://ginsbergs.com/online-ordering/</x:v>
      </x:c>
      <x:c r="O74" s="54" t="n">
        <x:v>46217</x:v>
      </x:c>
    </x:row>
    <x:row r="75">
      <x:c r="A75" s="27" t="str">
        <x:v>global_market_foods</x:v>
      </x:c>
      <x:c r="B75" s="27" t="str">
        <x:v>Global Market Foods</x:v>
      </x:c>
      <x:c r="C75" s="27" t="str">
        <x:v>GMF</x:v>
      </x:c>
      <x:c r="D75" s="27" t="str">
        <x:v>globalmarketfoods.com</x:v>
      </x:c>
      <x:c r="E75" s="27" t="str">
        <x:v>US</x:v>
      </x:c>
      <x:c r="F75" s="27" t="str">
        <x:v>IL,CA,NJ,TX</x:v>
      </x:c>
      <x:c r="G75" s="27" t="str">
        <x:v>Direct foodservice distributor</x:v>
      </x:c>
      <x:c r="H75" s="27" t="str">
        <x:v>International and specialty food distribution</x:v>
      </x:c>
      <x:c r="I75" s="27" t="str">
        <x:v>unknown_branded_portal</x:v>
      </x:c>
      <x:c r="J75" s="27" t="str">
        <x:v>https://www.globalmarketfoods.com/retailers</x:v>
      </x:c>
      <x:c r="K75" s="27" t="str">
        <x:v>Active</x:v>
      </x:c>
      <x:c r="L75" s="27" t="str"/>
      <x:c r="M75" s="27" t="str">
        <x:v>Approved seed</x:v>
      </x:c>
      <x:c r="N75" s="27" t="str">
        <x:v>https://www.frostyacres.com/news</x:v>
      </x:c>
      <x:c r="O75" s="54" t="n">
        <x:v>46217</x:v>
      </x:c>
    </x:row>
    <x:row r="76">
      <x:c r="A76" s="27" t="str">
        <x:v>gnb_wholesale</x:v>
      </x:c>
      <x:c r="B76" s="27" t="str">
        <x:v>GnB Wholesale</x:v>
      </x:c>
      <x:c r="C76" s="27" t="str">
        <x:v>G&amp;B Wholesale Foods | GNB Wholesale Foods</x:v>
      </x:c>
      <x:c r="D76" s="27" t="str">
        <x:v>gnbwholesale.com</x:v>
      </x:c>
      <x:c r="E76" s="27" t="str">
        <x:v>US</x:v>
      </x:c>
      <x:c r="F76" s="27" t="str">
        <x:v>CA</x:v>
      </x:c>
      <x:c r="G76" s="27" t="str">
        <x:v>Direct foodservice distributor</x:v>
      </x:c>
      <x:c r="H76" s="27" t="str">
        <x:v>Meat and broadline foodservice</x:v>
      </x:c>
      <x:c r="I76" s="27" t="str"/>
      <x:c r="J76" s="27" t="str"/>
      <x:c r="K76" s="27" t="str">
        <x:v>Active</x:v>
      </x:c>
      <x:c r="L76" s="27" t="str"/>
      <x:c r="M76" s="27" t="str">
        <x:v>Approved seed</x:v>
      </x:c>
      <x:c r="N76" s="27" t="str">
        <x:v>https://www.frostyacres.com/news/727e3445-2067-44e0-85cc-e95f0661123b</x:v>
      </x:c>
      <x:c r="O76" s="54" t="n">
        <x:v>46217</x:v>
      </x:c>
    </x:row>
    <x:row r="77">
      <x:c r="A77" s="27" t="str">
        <x:v>golbon</x:v>
      </x:c>
      <x:c r="B77" s="27" t="str">
        <x:v>Golbon</x:v>
      </x:c>
      <x:c r="C77" s="27" t="str"/>
      <x:c r="D77" s="27" t="str">
        <x:v>golbon.com</x:v>
      </x:c>
      <x:c r="E77" s="27" t="str">
        <x:v>US</x:v>
      </x:c>
      <x:c r="F77" s="27"/>
      <x:c r="G77" s="27" t="str">
        <x:v>Distributor network / cooperative</x:v>
      </x:c>
      <x:c r="H77" s="27" t="str">
        <x:v>Buying group / distributor network</x:v>
      </x:c>
      <x:c r="I77" s="27" t="str"/>
      <x:c r="J77" s="27"/>
      <x:c r="K77" s="27" t="str">
        <x:v>Active</x:v>
      </x:c>
      <x:c r="L77" s="27" t="str"/>
      <x:c r="M77" s="27" t="str">
        <x:v>Reference only</x:v>
      </x:c>
      <x:c r="N77" s="27" t="str">
        <x:v>https://ifdaonline.org/distributor-members/</x:v>
      </x:c>
      <x:c r="O77" s="54" t="n">
        <x:v>46217</x:v>
      </x:c>
    </x:row>
    <x:row r="78">
      <x:c r="A78" s="27" t="str">
        <x:v>gold_star_foods</x:v>
      </x:c>
      <x:c r="B78" s="27" t="str">
        <x:v>Gold Star Foods</x:v>
      </x:c>
      <x:c r="C78" s="27" t="str"/>
      <x:c r="D78" s="27" t="str">
        <x:v>goldstarfoods.com</x:v>
      </x:c>
      <x:c r="E78" s="27" t="str">
        <x:v>US</x:v>
      </x:c>
      <x:c r="F78" s="27" t="str">
        <x:v>CA,AZ,NV,TX,NM</x:v>
      </x:c>
      <x:c r="G78" s="27" t="str">
        <x:v>Direct foodservice distributor</x:v>
      </x:c>
      <x:c r="H78" s="27" t="str">
        <x:v>K-12 / institutional</x:v>
      </x:c>
      <x:c r="I78" s="27" t="str"/>
      <x:c r="J78" s="27"/>
      <x:c r="K78" s="27" t="str">
        <x:v>Active</x:v>
      </x:c>
      <x:c r="L78" s="27" t="str"/>
      <x:c r="M78" s="27" t="str">
        <x:v>Review before seed</x:v>
      </x:c>
      <x:c r="N78" s="27" t="str">
        <x:v>https://ifdaonline.org/distributor-members/</x:v>
      </x:c>
      <x:c r="O78" s="54" t="n">
        <x:v>46217</x:v>
      </x:c>
    </x:row>
    <x:row r="79">
      <x:c r="A79" s="27" t="str">
        <x:v>golden_egg_company</x:v>
      </x:c>
      <x:c r="B79" s="27" t="str">
        <x:v>Golden Egg Company</x:v>
      </x:c>
      <x:c r="C79" s="27" t="str"/>
      <x:c r="D79" s="27" t="str">
        <x:v>goldeneggcompany.com</x:v>
      </x:c>
      <x:c r="E79" s="27" t="str">
        <x:v>US</x:v>
      </x:c>
      <x:c r="F79" s="27" t="str">
        <x:v>CA</x:v>
      </x:c>
      <x:c r="G79" s="27" t="str">
        <x:v>Direct foodservice distributor</x:v>
      </x:c>
      <x:c r="H79" s="27" t="str">
        <x:v>Egg, dairy and foodservice distribution</x:v>
      </x:c>
      <x:c r="I79" s="27" t="str">
        <x:v>public_ecommerce</x:v>
      </x:c>
      <x:c r="J79" s="27" t="str">
        <x:v>https://www.goldeneggcompany.com/</x:v>
      </x:c>
      <x:c r="K79" s="27" t="str">
        <x:v>Active</x:v>
      </x:c>
      <x:c r="L79" s="27" t="str"/>
      <x:c r="M79" s="27" t="str">
        <x:v>Approved seed</x:v>
      </x:c>
      <x:c r="N79" s="27" t="str">
        <x:v>https://golbon.com/press/golbon-welcomes-new-member-golden-egg-company/</x:v>
      </x:c>
      <x:c r="O79" s="54" t="n">
        <x:v>46217</x:v>
      </x:c>
    </x:row>
    <x:row r="80">
      <x:c r="A80" s="27" t="str">
        <x:v>good_source_solutions_inc</x:v>
      </x:c>
      <x:c r="B80" s="27" t="str">
        <x:v>Good Source Solutions, Inc.</x:v>
      </x:c>
      <x:c r="C80" s="27" t="str"/>
      <x:c r="D80" s="27" t="str">
        <x:v>goodsource.com</x:v>
      </x:c>
      <x:c r="E80" s="27" t="str">
        <x:v>US</x:v>
      </x:c>
      <x:c r="F80" s="27"/>
      <x:c r="G80" s="27" t="str">
        <x:v>Redistributor</x:v>
      </x:c>
      <x:c r="H80" s="27" t="str">
        <x:v>Specialty / redistributor</x:v>
      </x:c>
      <x:c r="I80" s="27" t="str"/>
      <x:c r="J80" s="27"/>
      <x:c r="K80" s="27" t="str">
        <x:v>Active</x:v>
      </x:c>
      <x:c r="L80" s="27" t="str"/>
      <x:c r="M80" s="27" t="str">
        <x:v>Reference only</x:v>
      </x:c>
      <x:c r="N80" s="27" t="str">
        <x:v>https://ifdaonline.org/distributor-members/</x:v>
      </x:c>
      <x:c r="O80" s="54" t="n">
        <x:v>46217</x:v>
      </x:c>
    </x:row>
    <x:row r="81">
      <x:c r="A81" s="27" t="str">
        <x:v>gordon_food_service</x:v>
      </x:c>
      <x:c r="B81" s="27" t="str">
        <x:v>Gordon Food Service</x:v>
      </x:c>
      <x:c r="C81" s="27" t="str">
        <x:v>GFS</x:v>
      </x:c>
      <x:c r="D81" s="27" t="str">
        <x:v>gfs.com</x:v>
      </x:c>
      <x:c r="E81" s="27" t="str">
        <x:v>US</x:v>
      </x:c>
      <x:c r="F81" s="27" t="str">
        <x:v>AL,FL,GA,IL,IN,KY,MD,MI,MO,NC,NY,OH,PA,SC,TN,TX,WI</x:v>
      </x:c>
      <x:c r="G81" s="27" t="str">
        <x:v>Direct foodservice distributor</x:v>
      </x:c>
      <x:c r="H81" s="27" t="str">
        <x:v>National broadline</x:v>
      </x:c>
      <x:c r="I81" s="27" t="str"/>
      <x:c r="J81" s="27" t="str">
        <x:v>https://gfs.com/en-us/products-services/technology-solutions/gordon-ordering/</x:v>
      </x:c>
      <x:c r="K81" s="27" t="str">
        <x:v>Active</x:v>
      </x:c>
      <x:c r="L81" s="27" t="str"/>
      <x:c r="M81" s="27" t="str">
        <x:v>Approved seed</x:v>
      </x:c>
      <x:c r="N81" s="27" t="str">
        <x:v>https://gfs.com/en-us/ideas/gordon-ordering-quick-start-guide/</x:v>
      </x:c>
      <x:c r="O81" s="54" t="n">
        <x:v>46217</x:v>
      </x:c>
    </x:row>
    <x:row r="82">
      <x:c r="A82" s="27" t="str">
        <x:v>gourmet_foods_international</x:v>
      </x:c>
      <x:c r="B82" s="27" t="str">
        <x:v>Gourmet Foods International</x:v>
      </x:c>
      <x:c r="C82" s="27" t="str"/>
      <x:c r="D82" s="27" t="str">
        <x:v>gfifoods.com</x:v>
      </x:c>
      <x:c r="E82" s="27" t="str">
        <x:v>US</x:v>
      </x:c>
      <x:c r="F82" s="27" t="str">
        <x:v>GA,CA,FL,TX,NJ,MA,IL,WA,CO</x:v>
      </x:c>
      <x:c r="G82" s="27" t="str">
        <x:v>Direct foodservice distributor</x:v>
      </x:c>
      <x:c r="H82" s="27" t="str">
        <x:v>Specialty foods</x:v>
      </x:c>
      <x:c r="I82" s="27" t="str"/>
      <x:c r="J82" s="27" t="str">
        <x:v>https://www.gfifoods.com/customer/account/</x:v>
      </x:c>
      <x:c r="K82" s="27" t="str">
        <x:v>Active</x:v>
      </x:c>
      <x:c r="L82" s="27" t="str"/>
      <x:c r="M82" s="27" t="str">
        <x:v>Approved seed</x:v>
      </x:c>
      <x:c r="N82" s="27" t="str">
        <x:v>https://www.gfifoods.com/customers</x:v>
      </x:c>
      <x:c r="O82" s="54" t="n">
        <x:v>46217</x:v>
      </x:c>
    </x:row>
    <x:row r="83">
      <x:c r="A83" s="27" t="str">
        <x:v>graves_foods_menu_maker_foods</x:v>
      </x:c>
      <x:c r="B83" s="27" t="str">
        <x:v>Graves Foods / Menu Maker Foods</x:v>
      </x:c>
      <x:c r="C83" s="27" t="str"/>
      <x:c r="D83" s="27" t="str">
        <x:v>menumakerfoods.com</x:v>
      </x:c>
      <x:c r="E83" s="27" t="str">
        <x:v>US</x:v>
      </x:c>
      <x:c r="F83" s="27" t="str">
        <x:v>KS,MO,NE,OK,IA</x:v>
      </x:c>
      <x:c r="G83" s="27" t="str">
        <x:v>Direct foodservice distributor</x:v>
      </x:c>
      <x:c r="H83" s="27" t="str">
        <x:v>Broadline</x:v>
      </x:c>
      <x:c r="I83" s="27" t="str"/>
      <x:c r="J83" s="27"/>
      <x:c r="K83" s="27" t="str">
        <x:v>Active</x:v>
      </x:c>
      <x:c r="L83" s="27" t="str"/>
      <x:c r="M83" s="27" t="str">
        <x:v>Review before seed</x:v>
      </x:c>
      <x:c r="N83" s="27" t="str">
        <x:v>https://ifdaonline.org/distributor-members/</x:v>
      </x:c>
      <x:c r="O83" s="54" t="n">
        <x:v>46217</x:v>
      </x:c>
    </x:row>
    <x:row r="84">
      <x:c r="A84" s="27" t="str">
        <x:v>gs_foods_group</x:v>
      </x:c>
      <x:c r="B84" s="27" t="str">
        <x:v>GS Foods Group</x:v>
      </x:c>
      <x:c r="C84" s="27" t="str"/>
      <x:c r="D84" s="27" t="str">
        <x:v>gsfoodsgroup.com</x:v>
      </x:c>
      <x:c r="E84" s="27" t="str">
        <x:v>US</x:v>
      </x:c>
      <x:c r="F84" s="27" t="str">
        <x:v>CA,AZ,NV,TX,NM,MO</x:v>
      </x:c>
      <x:c r="G84" s="27" t="str">
        <x:v>Direct foodservice distributor</x:v>
      </x:c>
      <x:c r="H84" s="27" t="str">
        <x:v>K-12 / institutional</x:v>
      </x:c>
      <x:c r="I84" s="27" t="str"/>
      <x:c r="J84" s="27"/>
      <x:c r="K84" s="27" t="str">
        <x:v>Active</x:v>
      </x:c>
      <x:c r="L84" s="27" t="str"/>
      <x:c r="M84" s="27" t="str">
        <x:v>Review before seed</x:v>
      </x:c>
      <x:c r="N84" s="27" t="str">
        <x:v>https://ifdaonline.org/distributor-members/</x:v>
      </x:c>
      <x:c r="O84" s="54" t="n">
        <x:v>46217</x:v>
      </x:c>
    </x:row>
    <x:row r="85">
      <x:c r="A85" s="27" t="str">
        <x:v>halsey_foodservice</x:v>
      </x:c>
      <x:c r="B85" s="27" t="str">
        <x:v>Halsey Foodservice</x:v>
      </x:c>
      <x:c r="C85" s="27" t="str"/>
      <x:c r="D85" s="27" t="str">
        <x:v>halseyfoodservice.com</x:v>
      </x:c>
      <x:c r="E85" s="27" t="str">
        <x:v>US</x:v>
      </x:c>
      <x:c r="F85" s="27" t="str">
        <x:v>AL,TN,MS,GA</x:v>
      </x:c>
      <x:c r="G85" s="27" t="str">
        <x:v>Direct foodservice distributor</x:v>
      </x:c>
      <x:c r="H85" s="27" t="str">
        <x:v>Broadline</x:v>
      </x:c>
      <x:c r="I85" s="27" t="str"/>
      <x:c r="J85" s="27"/>
      <x:c r="K85" s="27" t="str">
        <x:v>Active</x:v>
      </x:c>
      <x:c r="L85" s="27" t="str"/>
      <x:c r="M85" s="27" t="str">
        <x:v>Review before seed</x:v>
      </x:c>
      <x:c r="N85" s="27" t="str">
        <x:v>https://ifdaonline.org/distributor-members/</x:v>
      </x:c>
      <x:c r="O85" s="54" t="n">
        <x:v>46217</x:v>
      </x:c>
    </x:row>
    <x:row r="86">
      <x:c r="A86" s="27" t="str">
        <x:v>harbor_foods_group</x:v>
      </x:c>
      <x:c r="B86" s="27" t="str">
        <x:v>Harbor Foods Group</x:v>
      </x:c>
      <x:c r="C86" s="27" t="str"/>
      <x:c r="D86" s="27" t="str">
        <x:v>harborwholesale.com</x:v>
      </x:c>
      <x:c r="E86" s="27" t="str">
        <x:v>US</x:v>
      </x:c>
      <x:c r="F86" s="27" t="str">
        <x:v>AK,WA,ID,OR,CA</x:v>
      </x:c>
      <x:c r="G86" s="27" t="str">
        <x:v>Direct foodservice distributor</x:v>
      </x:c>
      <x:c r="H86" s="27" t="str">
        <x:v>Broadline / convenience</x:v>
      </x:c>
      <x:c r="I86" s="27" t="str"/>
      <x:c r="J86" s="27"/>
      <x:c r="K86" s="27" t="str">
        <x:v>Active</x:v>
      </x:c>
      <x:c r="L86" s="27" t="str"/>
      <x:c r="M86" s="27" t="str">
        <x:v>Approved seed</x:v>
      </x:c>
      <x:c r="N86" s="27" t="str">
        <x:v>https://ifdaonline.org/distributor-members/</x:v>
      </x:c>
      <x:c r="O86" s="54" t="n">
        <x:v>46217</x:v>
      </x:c>
    </x:row>
    <x:row r="87">
      <x:c r="A87" s="27" t="str">
        <x:v>henry_s_foods_inc</x:v>
      </x:c>
      <x:c r="B87" s="27" t="str">
        <x:v>Henry's Foods, Inc.</x:v>
      </x:c>
      <x:c r="C87" s="27" t="str"/>
      <x:c r="D87" s="27" t="str">
        <x:v>henrysfoods.com</x:v>
      </x:c>
      <x:c r="E87" s="27" t="str">
        <x:v>US</x:v>
      </x:c>
      <x:c r="F87" s="27" t="str">
        <x:v>MN,ND,SD,WI,IA</x:v>
      </x:c>
      <x:c r="G87" s="27" t="str">
        <x:v>Direct foodservice distributor</x:v>
      </x:c>
      <x:c r="H87" s="27" t="str">
        <x:v>Broadline</x:v>
      </x:c>
      <x:c r="I87" s="27" t="str"/>
      <x:c r="J87" s="27"/>
      <x:c r="K87" s="27" t="str">
        <x:v>Active</x:v>
      </x:c>
      <x:c r="L87" s="27" t="str"/>
      <x:c r="M87" s="27" t="str">
        <x:v>Approved seed</x:v>
      </x:c>
      <x:c r="N87" s="27" t="str">
        <x:v>https://ifdaonline.org/distributor-members/</x:v>
      </x:c>
      <x:c r="O87" s="54" t="n">
        <x:v>46217</x:v>
      </x:c>
    </x:row>
    <x:row r="88">
      <x:c r="A88" s="27" t="str">
        <x:v>holiday_wholesale_inc</x:v>
      </x:c>
      <x:c r="B88" s="27" t="str">
        <x:v>Holiday Wholesale, Inc.</x:v>
      </x:c>
      <x:c r="C88" s="27" t="str"/>
      <x:c r="D88" s="27" t="str">
        <x:v>holidaywholesale.com</x:v>
      </x:c>
      <x:c r="E88" s="27" t="str">
        <x:v>US</x:v>
      </x:c>
      <x:c r="F88" s="27" t="str">
        <x:v>WI,IL,IA,MN</x:v>
      </x:c>
      <x:c r="G88" s="27" t="str">
        <x:v>Direct foodservice distributor</x:v>
      </x:c>
      <x:c r="H88" s="27" t="str">
        <x:v>Convenience / foodservice</x:v>
      </x:c>
      <x:c r="I88" s="27" t="str"/>
      <x:c r="J88" s="27"/>
      <x:c r="K88" s="27" t="str">
        <x:v>Active</x:v>
      </x:c>
      <x:c r="L88" s="27" t="str"/>
      <x:c r="M88" s="27" t="str">
        <x:v>Review before seed</x:v>
      </x:c>
      <x:c r="N88" s="27" t="str">
        <x:v>https://ifdaonline.org/distributor-members/</x:v>
      </x:c>
      <x:c r="O88" s="54" t="n">
        <x:v>46217</x:v>
      </x:c>
    </x:row>
    <x:row r="89">
      <x:c r="A89" s="27" t="str">
        <x:v>honor_foods_inc</x:v>
      </x:c>
      <x:c r="B89" s="27" t="str">
        <x:v>Honor Foods, Inc.</x:v>
      </x:c>
      <x:c r="C89" s="27" t="str"/>
      <x:c r="D89" s="27" t="str">
        <x:v>honorfoods.com</x:v>
      </x:c>
      <x:c r="E89" s="27" t="str">
        <x:v>US</x:v>
      </x:c>
      <x:c r="F89" s="27"/>
      <x:c r="G89" s="27" t="str">
        <x:v>Redistributor</x:v>
      </x:c>
      <x:c r="H89" s="27" t="str">
        <x:v>Redistributor</x:v>
      </x:c>
      <x:c r="I89" s="27" t="str"/>
      <x:c r="J89" s="27"/>
      <x:c r="K89" s="27" t="str">
        <x:v>Active</x:v>
      </x:c>
      <x:c r="L89" s="27" t="str"/>
      <x:c r="M89" s="27" t="str">
        <x:v>Reference only</x:v>
      </x:c>
      <x:c r="N89" s="27" t="str">
        <x:v>https://ifdaonline.org/distributor-members/</x:v>
      </x:c>
      <x:c r="O89" s="54" t="n">
        <x:v>46217</x:v>
      </x:c>
    </x:row>
    <x:row r="90">
      <x:c r="A90" s="27" t="str">
        <x:v>hpc_foodservice</x:v>
      </x:c>
      <x:c r="B90" s="27" t="str">
        <x:v>HPC Foodservice</x:v>
      </x:c>
      <x:c r="C90" s="27" t="str"/>
      <x:c r="D90" s="27" t="str">
        <x:v>hpcfs.com</x:v>
      </x:c>
      <x:c r="E90" s="27" t="str">
        <x:v>US</x:v>
      </x:c>
      <x:c r="F90" s="27" t="str">
        <x:v>CT,MA,RI,NY</x:v>
      </x:c>
      <x:c r="G90" s="27" t="str">
        <x:v>Direct foodservice distributor</x:v>
      </x:c>
      <x:c r="H90" s="27" t="str">
        <x:v>Broadline</x:v>
      </x:c>
      <x:c r="I90" s="27" t="str"/>
      <x:c r="J90" s="27"/>
      <x:c r="K90" s="27" t="str">
        <x:v>Active</x:v>
      </x:c>
      <x:c r="L90" s="27" t="str"/>
      <x:c r="M90" s="27" t="str">
        <x:v>Review before seed</x:v>
      </x:c>
      <x:c r="N90" s="27" t="str">
        <x:v>https://ifdaonline.org/distributor-members/</x:v>
      </x:c>
      <x:c r="O90" s="54" t="n">
        <x:v>46217</x:v>
      </x:c>
    </x:row>
    <x:row r="91">
      <x:c r="A91" s="27" t="str">
        <x:v>i_supply_company</x:v>
      </x:c>
      <x:c r="B91" s="27" t="str">
        <x:v>I Supply Company</x:v>
      </x:c>
      <x:c r="C91" s="27" t="str"/>
      <x:c r="D91" s="27" t="str">
        <x:v>isupplyco.com</x:v>
      </x:c>
      <x:c r="E91" s="27" t="str">
        <x:v>US</x:v>
      </x:c>
      <x:c r="F91" s="27" t="str">
        <x:v>OH,IN,KY,PA,WV</x:v>
      </x:c>
      <x:c r="G91" s="27" t="str">
        <x:v>Direct foodservice distributor</x:v>
      </x:c>
      <x:c r="H91" s="27" t="str">
        <x:v>Convenience / foodservice</x:v>
      </x:c>
      <x:c r="I91" s="27" t="str"/>
      <x:c r="J91" s="27"/>
      <x:c r="K91" s="27" t="str">
        <x:v>Active</x:v>
      </x:c>
      <x:c r="L91" s="27" t="str"/>
      <x:c r="M91" s="27" t="str">
        <x:v>Review before seed</x:v>
      </x:c>
      <x:c r="N91" s="27" t="str">
        <x:v>https://ifdaonline.org/distributor-members/</x:v>
      </x:c>
      <x:c r="O91" s="54" t="n">
        <x:v>46217</x:v>
      </x:c>
    </x:row>
    <x:row r="92">
      <x:c r="A92" s="27" t="str">
        <x:v>ifd_foodservice_distributor</x:v>
      </x:c>
      <x:c r="B92" s="27" t="str">
        <x:v>IFD Foodservice Distributor</x:v>
      </x:c>
      <x:c r="C92" s="27" t="str"/>
      <x:c r="D92" s="27" t="str">
        <x:v>callifd.com</x:v>
      </x:c>
      <x:c r="E92" s="27" t="str">
        <x:v>US</x:v>
      </x:c>
      <x:c r="F92" s="27" t="str">
        <x:v>WI,MN,MI,IA</x:v>
      </x:c>
      <x:c r="G92" s="27" t="str">
        <x:v>Direct foodservice distributor</x:v>
      </x:c>
      <x:c r="H92" s="27" t="str">
        <x:v>Broadline</x:v>
      </x:c>
      <x:c r="I92" s="27" t="str"/>
      <x:c r="J92" s="27"/>
      <x:c r="K92" s="27" t="str">
        <x:v>Active</x:v>
      </x:c>
      <x:c r="L92" s="27" t="str"/>
      <x:c r="M92" s="27" t="str">
        <x:v>Review before seed</x:v>
      </x:c>
      <x:c r="N92" s="27" t="str">
        <x:v>https://ifdaonline.org/distributor-members/</x:v>
      </x:c>
      <x:c r="O92" s="54" t="n">
        <x:v>46217</x:v>
      </x:c>
    </x:row>
    <x:row r="93">
      <x:c r="A93" s="27" t="str">
        <x:v>imler_s_poultry</x:v>
      </x:c>
      <x:c r="B93" s="27" t="str">
        <x:v>Imler's Poultry</x:v>
      </x:c>
      <x:c r="C93" s="27" t="str"/>
      <x:c r="D93" s="27" t="str">
        <x:v>imlerspoultry.com</x:v>
      </x:c>
      <x:c r="E93" s="27" t="str">
        <x:v>US</x:v>
      </x:c>
      <x:c r="F93" s="27" t="str">
        <x:v>PA,MD,VA,WV,OH</x:v>
      </x:c>
      <x:c r="G93" s="27" t="str">
        <x:v>Direct foodservice distributor</x:v>
      </x:c>
      <x:c r="H93" s="27" t="str">
        <x:v>Poultry / specialty</x:v>
      </x:c>
      <x:c r="I93" s="27" t="str"/>
      <x:c r="J93" s="27"/>
      <x:c r="K93" s="27" t="str">
        <x:v>Active</x:v>
      </x:c>
      <x:c r="L93" s="27" t="str"/>
      <x:c r="M93" s="27" t="str">
        <x:v>Review before seed</x:v>
      </x:c>
      <x:c r="N93" s="27" t="str">
        <x:v>https://ifdaonline.org/distributor-members/</x:v>
      </x:c>
      <x:c r="O93" s="54" t="n">
        <x:v>46217</x:v>
      </x:c>
    </x:row>
    <x:row r="94">
      <x:c r="A94" s="27" t="str">
        <x:v>incollingo_food_service</x:v>
      </x:c>
      <x:c r="B94" s="27" t="str">
        <x:v>Incollingo Food Service</x:v>
      </x:c>
      <x:c r="C94" s="27" t="str"/>
      <x:c r="D94" s="27" t="str">
        <x:v>incollingofoods.com</x:v>
      </x:c>
      <x:c r="E94" s="27" t="str">
        <x:v>US</x:v>
      </x:c>
      <x:c r="F94" s="27" t="str">
        <x:v>NJ,PA,DE,MD</x:v>
      </x:c>
      <x:c r="G94" s="27" t="str">
        <x:v>Direct foodservice distributor</x:v>
      </x:c>
      <x:c r="H94" s="27" t="str">
        <x:v>Italian / pizza / broadline foodservice</x:v>
      </x:c>
      <x:c r="I94" s="27" t="str">
        <x:v>unknown_branded_portal</x:v>
      </x:c>
      <x:c r="J94" s="27" t="str">
        <x:v>https://www.incollingofoods.com/new-products-page</x:v>
      </x:c>
      <x:c r="K94" s="27" t="str">
        <x:v>Active</x:v>
      </x:c>
      <x:c r="L94" s="27" t="str"/>
      <x:c r="M94" s="27" t="str">
        <x:v>Approved seed</x:v>
      </x:c>
      <x:c r="N94" s="27" t="str">
        <x:v>https://www.frostyacres.com/news/f8151c2f-4a01-42d0-8720-b11a4ff6ddb2</x:v>
      </x:c>
      <x:c r="O94" s="54" t="n">
        <x:v>46217</x:v>
      </x:c>
    </x:row>
    <x:row r="95">
      <x:c r="A95" s="27" t="str">
        <x:v>independent_marketing_alliance</x:v>
      </x:c>
      <x:c r="B95" s="27" t="str">
        <x:v>Independent Marketing Alliance</x:v>
      </x:c>
      <x:c r="C95" s="27" t="str"/>
      <x:c r="D95" s="27" t="str">
        <x:v>imaforce.com</x:v>
      </x:c>
      <x:c r="E95" s="27" t="str">
        <x:v>US</x:v>
      </x:c>
      <x:c r="F95" s="27"/>
      <x:c r="G95" s="27" t="str">
        <x:v>Distributor network / cooperative</x:v>
      </x:c>
      <x:c r="H95" s="27" t="str">
        <x:v>Distributor network</x:v>
      </x:c>
      <x:c r="I95" s="27" t="str"/>
      <x:c r="J95" s="27"/>
      <x:c r="K95" s="27" t="str">
        <x:v>Active</x:v>
      </x:c>
      <x:c r="L95" s="27" t="str"/>
      <x:c r="M95" s="27" t="str">
        <x:v>Reference only</x:v>
      </x:c>
      <x:c r="N95" s="27" t="str">
        <x:v>https://ifdaonline.org/distributor-members/</x:v>
      </x:c>
      <x:c r="O95" s="54" t="n">
        <x:v>46217</x:v>
      </x:c>
    </x:row>
    <x:row r="96">
      <x:c r="A96" s="27" t="str">
        <x:v>international_gourmet_foods</x:v>
      </x:c>
      <x:c r="B96" s="27" t="str">
        <x:v>International Gourmet Foods</x:v>
      </x:c>
      <x:c r="C96" s="27" t="str"/>
      <x:c r="D96" s="27" t="str">
        <x:v>igf-inc.com</x:v>
      </x:c>
      <x:c r="E96" s="27" t="str">
        <x:v>US</x:v>
      </x:c>
      <x:c r="F96" s="27" t="str">
        <x:v>VA,MD,DC,NC,TN,SC,GA</x:v>
      </x:c>
      <x:c r="G96" s="27" t="str">
        <x:v>Direct foodservice distributor</x:v>
      </x:c>
      <x:c r="H96" s="27" t="str">
        <x:v>Specialty foods</x:v>
      </x:c>
      <x:c r="I96" s="27" t="str"/>
      <x:c r="J96" s="27"/>
      <x:c r="K96" s="27" t="str">
        <x:v>Active</x:v>
      </x:c>
      <x:c r="L96" s="27" t="str"/>
      <x:c r="M96" s="27" t="str">
        <x:v>Approved seed</x:v>
      </x:c>
      <x:c r="N96" s="27" t="str">
        <x:v>https://www.igf-inc.com</x:v>
      </x:c>
      <x:c r="O96" s="54" t="n">
        <x:v>46217</x:v>
      </x:c>
    </x:row>
    <x:row r="97">
      <x:c r="A97" s="27" t="str">
        <x:v>jake_s_finer_foods</x:v>
      </x:c>
      <x:c r="B97" s="27" t="str">
        <x:v>Jake's Finer Foods</x:v>
      </x:c>
      <x:c r="C97" s="27" t="str"/>
      <x:c r="D97" s="27" t="str">
        <x:v>jakesfinerfoods.com</x:v>
      </x:c>
      <x:c r="E97" s="27" t="str">
        <x:v>US</x:v>
      </x:c>
      <x:c r="F97" s="27" t="str">
        <x:v>TX,LA</x:v>
      </x:c>
      <x:c r="G97" s="27" t="str">
        <x:v>Direct foodservice distributor</x:v>
      </x:c>
      <x:c r="H97" s="27" t="str">
        <x:v>Broadline / specialty</x:v>
      </x:c>
      <x:c r="I97" s="27" t="str"/>
      <x:c r="J97" s="27"/>
      <x:c r="K97" s="27" t="str">
        <x:v>Active</x:v>
      </x:c>
      <x:c r="L97" s="27" t="str"/>
      <x:c r="M97" s="27" t="str">
        <x:v>Approved seed</x:v>
      </x:c>
      <x:c r="N97" s="27" t="str">
        <x:v>https://ifdaonline.org/distributor-members/</x:v>
      </x:c>
      <x:c r="O97" s="54" t="n">
        <x:v>46217</x:v>
      </x:c>
    </x:row>
    <x:row r="98">
      <x:c r="A98" s="27" t="str">
        <x:v>jangbogo_foodbank</x:v>
      </x:c>
      <x:c r="B98" s="27" t="str">
        <x:v>Jangbogo Foodbank</x:v>
      </x:c>
      <x:c r="C98" s="27" t="str"/>
      <x:c r="D98" s="27" t="str">
        <x:v>jangfood.com</x:v>
      </x:c>
      <x:c r="E98" s="27" t="str">
        <x:v>US</x:v>
      </x:c>
      <x:c r="F98" s="27" t="str">
        <x:v>IL,IN,WI</x:v>
      </x:c>
      <x:c r="G98" s="27" t="str">
        <x:v>Direct foodservice distributor</x:v>
      </x:c>
      <x:c r="H98" s="27" t="str">
        <x:v>Asian / specialty</x:v>
      </x:c>
      <x:c r="I98" s="27" t="str"/>
      <x:c r="J98" s="27"/>
      <x:c r="K98" s="27" t="str">
        <x:v>Active</x:v>
      </x:c>
      <x:c r="L98" s="27" t="str"/>
      <x:c r="M98" s="27" t="str">
        <x:v>Review before seed</x:v>
      </x:c>
      <x:c r="N98" s="27" t="str">
        <x:v>https://ifdaonline.org/distributor-members/</x:v>
      </x:c>
      <x:c r="O98" s="54" t="n">
        <x:v>46217</x:v>
      </x:c>
    </x:row>
    <x:row r="99">
      <x:c r="A99" s="27" t="str">
        <x:v>jd_food</x:v>
      </x:c>
      <x:c r="B99" s="27" t="str">
        <x:v>JD Food</x:v>
      </x:c>
      <x:c r="C99" s="27" t="str"/>
      <x:c r="D99" s="27" t="str">
        <x:v>jdfood.com</x:v>
      </x:c>
      <x:c r="E99" s="27" t="str">
        <x:v>US</x:v>
      </x:c>
      <x:c r="F99" s="27" t="str">
        <x:v>CA,NV</x:v>
      </x:c>
      <x:c r="G99" s="27" t="str">
        <x:v>Direct foodservice distributor</x:v>
      </x:c>
      <x:c r="H99" s="27" t="str">
        <x:v>Broadline</x:v>
      </x:c>
      <x:c r="I99" s="27" t="str"/>
      <x:c r="J99" s="27"/>
      <x:c r="K99" s="27" t="str">
        <x:v>Active</x:v>
      </x:c>
      <x:c r="L99" s="27" t="str"/>
      <x:c r="M99" s="27" t="str">
        <x:v>Review before seed</x:v>
      </x:c>
      <x:c r="N99" s="27" t="str">
        <x:v>https://ifdaonline.org/distributor-members/</x:v>
      </x:c>
      <x:c r="O99" s="54" t="n">
        <x:v>46217</x:v>
      </x:c>
    </x:row>
    <x:row r="100">
      <x:c r="A100" s="27" t="str">
        <x:v>johnson_bros_bakery_supply</x:v>
      </x:c>
      <x:c r="B100" s="27" t="str">
        <x:v>Johnson Bros. Bakery Supply</x:v>
      </x:c>
      <x:c r="C100" s="27" t="str"/>
      <x:c r="D100" s="27" t="str">
        <x:v>jbrosbakerysupply.com</x:v>
      </x:c>
      <x:c r="E100" s="27" t="str">
        <x:v>US</x:v>
      </x:c>
      <x:c r="F100" s="27" t="str">
        <x:v>TX,OK,LA</x:v>
      </x:c>
      <x:c r="G100" s="27" t="str">
        <x:v>Direct foodservice distributor</x:v>
      </x:c>
      <x:c r="H100" s="27" t="str">
        <x:v>Bakery ingredients</x:v>
      </x:c>
      <x:c r="I100" s="27" t="str"/>
      <x:c r="J100" s="27"/>
      <x:c r="K100" s="27" t="str">
        <x:v>Active</x:v>
      </x:c>
      <x:c r="L100" s="27" t="str"/>
      <x:c r="M100" s="27" t="str">
        <x:v>Review before seed</x:v>
      </x:c>
      <x:c r="N100" s="27" t="str">
        <x:v>https://ifdaonline.org/distributor-members/</x:v>
      </x:c>
      <x:c r="O100" s="54" t="n">
        <x:v>46217</x:v>
      </x:c>
    </x:row>
    <x:row r="101">
      <x:c r="A101" s="27" t="str">
        <x:v>jordano_s_foodservice_inc</x:v>
      </x:c>
      <x:c r="B101" s="27" t="str">
        <x:v>Jordano's Foodservice, Inc.</x:v>
      </x:c>
      <x:c r="C101" s="27" t="str"/>
      <x:c r="D101" s="27" t="str">
        <x:v>jordanos.com</x:v>
      </x:c>
      <x:c r="E101" s="27" t="str">
        <x:v>US</x:v>
      </x:c>
      <x:c r="F101" s="27" t="str">
        <x:v>CA</x:v>
      </x:c>
      <x:c r="G101" s="27" t="str">
        <x:v>Direct foodservice distributor</x:v>
      </x:c>
      <x:c r="H101" s="27" t="str">
        <x:v>Broadline</x:v>
      </x:c>
      <x:c r="I101" s="27" t="str"/>
      <x:c r="J101" s="27"/>
      <x:c r="K101" s="27" t="str">
        <x:v>Active</x:v>
      </x:c>
      <x:c r="L101" s="27" t="str"/>
      <x:c r="M101" s="27" t="str">
        <x:v>Approved seed</x:v>
      </x:c>
      <x:c r="N101" s="27" t="str">
        <x:v>https://ifdaonline.org/distributor-members/</x:v>
      </x:c>
      <x:c r="O101" s="54" t="n">
        <x:v>46217</x:v>
      </x:c>
    </x:row>
    <x:row r="102">
      <x:c r="A102" s="27" t="str">
        <x:v>kansas_marine_inc</x:v>
      </x:c>
      <x:c r="B102" s="27" t="str">
        <x:v>Kansas Marine, Inc.</x:v>
      </x:c>
      <x:c r="C102" s="27" t="str"/>
      <x:c r="D102" s="27" t="str">
        <x:v>kansasmarine.com</x:v>
      </x:c>
      <x:c r="E102" s="27" t="str">
        <x:v>US</x:v>
      </x:c>
      <x:c r="F102" s="27" t="str">
        <x:v>CA,WA</x:v>
      </x:c>
      <x:c r="G102" s="27" t="str">
        <x:v>Direct foodservice distributor</x:v>
      </x:c>
      <x:c r="H102" s="27" t="str">
        <x:v>Cruise-line food and hospitality supply</x:v>
      </x:c>
      <x:c r="I102" s="27" t="str"/>
      <x:c r="J102" s="27" t="str"/>
      <x:c r="K102" s="27" t="str">
        <x:v>Active</x:v>
      </x:c>
      <x:c r="L102" s="27" t="str"/>
      <x:c r="M102" s="27" t="str">
        <x:v>Approved seed</x:v>
      </x:c>
      <x:c r="N102" s="27" t="str">
        <x:v>https://golbon.com/press/golbon-welcomes-new-member-kansas-marine-inc/</x:v>
      </x:c>
      <x:c r="O102" s="54" t="n">
        <x:v>46217</x:v>
      </x:c>
    </x:row>
    <x:row r="103">
      <x:c r="A103" s="27" t="str">
        <x:v>kast_distributors_inc</x:v>
      </x:c>
      <x:c r="B103" s="27" t="str">
        <x:v>KAST Distributors, Inc.</x:v>
      </x:c>
      <x:c r="C103" s="27" t="str"/>
      <x:c r="D103" s="27" t="str">
        <x:v>kastdistributors.com</x:v>
      </x:c>
      <x:c r="E103" s="27" t="str">
        <x:v>US</x:v>
      </x:c>
      <x:c r="F103" s="27" t="str">
        <x:v>PA,NJ,NY</x:v>
      </x:c>
      <x:c r="G103" s="27" t="str">
        <x:v>Direct foodservice distributor</x:v>
      </x:c>
      <x:c r="H103" s="27" t="str">
        <x:v>Broadline</x:v>
      </x:c>
      <x:c r="I103" s="27" t="str"/>
      <x:c r="J103" s="27"/>
      <x:c r="K103" s="27" t="str">
        <x:v>Active</x:v>
      </x:c>
      <x:c r="L103" s="27" t="str"/>
      <x:c r="M103" s="27" t="str">
        <x:v>Review before seed</x:v>
      </x:c>
      <x:c r="N103" s="27" t="str">
        <x:v>https://ifdaonline.org/distributor-members/</x:v>
      </x:c>
      <x:c r="O103" s="54" t="n">
        <x:v>46217</x:v>
      </x:c>
    </x:row>
    <x:row r="104">
      <x:c r="A104" s="27" t="str">
        <x:v>keck_s_food_service_inc</x:v>
      </x:c>
      <x:c r="B104" s="27" t="str">
        <x:v>Keck's Food Service, Inc.</x:v>
      </x:c>
      <x:c r="C104" s="27" t="str"/>
      <x:c r="D104" s="27" t="str">
        <x:v>kecksfoodservice.com</x:v>
      </x:c>
      <x:c r="E104" s="27" t="str">
        <x:v>US</x:v>
      </x:c>
      <x:c r="F104" s="27" t="str">
        <x:v>PA,MD,VA,WV</x:v>
      </x:c>
      <x:c r="G104" s="27" t="str">
        <x:v>Direct foodservice distributor</x:v>
      </x:c>
      <x:c r="H104" s="27" t="str">
        <x:v>Broadline</x:v>
      </x:c>
      <x:c r="I104" s="27" t="str"/>
      <x:c r="J104" s="27"/>
      <x:c r="K104" s="27" t="str">
        <x:v>Active</x:v>
      </x:c>
      <x:c r="L104" s="27" t="str"/>
      <x:c r="M104" s="27" t="str">
        <x:v>Review before seed</x:v>
      </x:c>
      <x:c r="N104" s="27" t="str">
        <x:v>https://ifdaonline.org/distributor-members/</x:v>
      </x:c>
      <x:c r="O104" s="54" t="n">
        <x:v>46217</x:v>
      </x:c>
    </x:row>
    <x:row r="105">
      <x:c r="A105" s="27" t="str">
        <x:v>kehe_distributors</x:v>
      </x:c>
      <x:c r="B105" s="27" t="str">
        <x:v>KeHE Distributors</x:v>
      </x:c>
      <x:c r="C105" s="27" t="str"/>
      <x:c r="D105" s="27" t="str">
        <x:v>kehe.com</x:v>
      </x:c>
      <x:c r="E105" s="27" t="str">
        <x:v>US</x:v>
      </x:c>
      <x:c r="F105" s="27"/>
      <x:c r="G105" s="27" t="str">
        <x:v>Direct foodservice distributor</x:v>
      </x:c>
      <x:c r="H105" s="27" t="str">
        <x:v>Natural / specialty distribution</x:v>
      </x:c>
      <x:c r="I105" s="27" t="str"/>
      <x:c r="J105" s="27"/>
      <x:c r="K105" s="27" t="str">
        <x:v>Active</x:v>
      </x:c>
      <x:c r="L105" s="27" t="str"/>
      <x:c r="M105" s="27" t="str">
        <x:v>Approved seed</x:v>
      </x:c>
      <x:c r="N105" s="27" t="str">
        <x:v>https://www.kehe.com</x:v>
      </x:c>
      <x:c r="O105" s="54" t="n">
        <x:v>46217</x:v>
      </x:c>
    </x:row>
    <x:row r="106">
      <x:c r="A106" s="27" t="str">
        <x:v>king_kold</x:v>
      </x:c>
      <x:c r="B106" s="27" t="str">
        <x:v>King Kold</x:v>
      </x:c>
      <x:c r="C106" s="27" t="str">
        <x:v>King Kold Quality Meats | King Kold Meats</x:v>
      </x:c>
      <x:c r="D106" s="27" t="str">
        <x:v>kingkoldinc.com</x:v>
      </x:c>
      <x:c r="E106" s="27" t="str">
        <x:v>US</x:v>
      </x:c>
      <x:c r="F106" s="27" t="str">
        <x:v>OH</x:v>
      </x:c>
      <x:c r="G106" s="27" t="str">
        <x:v>Direct foodservice distributor</x:v>
      </x:c>
      <x:c r="H106" s="27" t="str">
        <x:v>Meat and center-of-plate distribution</x:v>
      </x:c>
      <x:c r="I106" s="27" t="str">
        <x:v>public_ecommerce</x:v>
      </x:c>
      <x:c r="J106" s="27" t="str">
        <x:v>https://kingkoldinc.com/shop-meat-sides/</x:v>
      </x:c>
      <x:c r="K106" s="27" t="str">
        <x:v>Active</x:v>
      </x:c>
      <x:c r="L106" s="27" t="str"/>
      <x:c r="M106" s="27" t="str">
        <x:v>Approved seed</x:v>
      </x:c>
      <x:c r="N106" s="27" t="str">
        <x:v>https://golbon.com/press/golbon-welcomes-new-member-king-kold/</x:v>
      </x:c>
      <x:c r="O106" s="54" t="n">
        <x:v>46217</x:v>
      </x:c>
    </x:row>
    <x:row r="107">
      <x:c r="A107" s="27" t="str">
        <x:v>kohl_wholesale</x:v>
      </x:c>
      <x:c r="B107" s="27" t="str">
        <x:v>Kohl Wholesale</x:v>
      </x:c>
      <x:c r="C107" s="27" t="str"/>
      <x:c r="D107" s="27" t="str">
        <x:v>kohlwholesale.com</x:v>
      </x:c>
      <x:c r="E107" s="27" t="str">
        <x:v>US</x:v>
      </x:c>
      <x:c r="F107" s="27" t="str">
        <x:v>IL,IA,MO</x:v>
      </x:c>
      <x:c r="G107" s="27" t="str">
        <x:v>Direct foodservice distributor</x:v>
      </x:c>
      <x:c r="H107" s="27" t="str">
        <x:v>Broadline</x:v>
      </x:c>
      <x:c r="I107" s="27" t="str"/>
      <x:c r="J107" s="27"/>
      <x:c r="K107" s="27" t="str">
        <x:v>Active</x:v>
      </x:c>
      <x:c r="L107" s="27" t="str"/>
      <x:c r="M107" s="27" t="str">
        <x:v>Approved seed</x:v>
      </x:c>
      <x:c r="N107" s="27" t="str">
        <x:v>https://ifdaonline.org/distributor-members/</x:v>
      </x:c>
      <x:c r="O107" s="54" t="n">
        <x:v>46217</x:v>
      </x:c>
    </x:row>
    <x:row r="108">
      <x:c r="A108" s="27" t="str">
        <x:v>kos_distribution</x:v>
      </x:c>
      <x:c r="B108" s="27" t="str">
        <x:v>KOS Distribution</x:v>
      </x:c>
      <x:c r="C108" s="27" t="str"/>
      <x:c r="D108" s="27" t="str">
        <x:v>kosdistribution.com</x:v>
      </x:c>
      <x:c r="E108" s="27" t="str">
        <x:v>US</x:v>
      </x:c>
      <x:c r="F108" s="27" t="str">
        <x:v>TN</x:v>
      </x:c>
      <x:c r="G108" s="27" t="str">
        <x:v>Direct foodservice distributor</x:v>
      </x:c>
      <x:c r="H108" s="27" t="str">
        <x:v>Hispanic / Latin American grocery and foodservice distribution</x:v>
      </x:c>
      <x:c r="I108" s="27" t="str"/>
      <x:c r="J108" s="27" t="str"/>
      <x:c r="K108" s="27" t="str">
        <x:v>Active</x:v>
      </x:c>
      <x:c r="L108" s="27" t="str"/>
      <x:c r="M108" s="27" t="str">
        <x:v>Approved seed</x:v>
      </x:c>
      <x:c r="N108" s="27" t="str">
        <x:v>https://www.frostyacres.com/news/31f704a5-135a-4ed2-aacd-52e77181df60</x:v>
      </x:c>
      <x:c r="O108" s="54" t="n">
        <x:v>46217</x:v>
      </x:c>
    </x:row>
    <x:row r="109">
      <x:c r="A109" s="27" t="str">
        <x:v>kuna_foodservice</x:v>
      </x:c>
      <x:c r="B109" s="27" t="str">
        <x:v>Kuna Foodservice</x:v>
      </x:c>
      <x:c r="C109" s="27" t="str"/>
      <x:c r="D109" s="27" t="str">
        <x:v>kunafoodservice.com</x:v>
      </x:c>
      <x:c r="E109" s="27" t="str">
        <x:v>US</x:v>
      </x:c>
      <x:c r="F109" s="27" t="str">
        <x:v>MO,IL,IA,WI,IN,MI,KY,OH,AR,MS,AL</x:v>
      </x:c>
      <x:c r="G109" s="27" t="str">
        <x:v>Direct foodservice distributor</x:v>
      </x:c>
      <x:c r="H109" s="27" t="str">
        <x:v>Broadline</x:v>
      </x:c>
      <x:c r="I109" s="27" t="str"/>
      <x:c r="J109" s="27"/>
      <x:c r="K109" s="27" t="str">
        <x:v>Active</x:v>
      </x:c>
      <x:c r="L109" s="27" t="str"/>
      <x:c r="M109" s="27" t="str">
        <x:v>Approved seed</x:v>
      </x:c>
      <x:c r="N109" s="27" t="str">
        <x:v>https://ifdaonline.org/distributor-members/</x:v>
      </x:c>
      <x:c r="O109" s="54" t="n">
        <x:v>46217</x:v>
      </x:c>
    </x:row>
    <x:row r="110">
      <x:c r="A110" s="27" t="str">
        <x:v>latina_boulevard_foods</x:v>
      </x:c>
      <x:c r="B110" s="27" t="str">
        <x:v>Latina Boulevard Foods</x:v>
      </x:c>
      <x:c r="C110" s="27" t="str"/>
      <x:c r="D110" s="27" t="str">
        <x:v>latinaboulevardfoods.com</x:v>
      </x:c>
      <x:c r="E110" s="27" t="str">
        <x:v>US</x:v>
      </x:c>
      <x:c r="F110" s="27" t="str">
        <x:v>FL,GA</x:v>
      </x:c>
      <x:c r="G110" s="27" t="str">
        <x:v>Direct foodservice distributor</x:v>
      </x:c>
      <x:c r="H110" s="27" t="str">
        <x:v>Hispanic / specialty</x:v>
      </x:c>
      <x:c r="I110" s="27" t="str"/>
      <x:c r="J110" s="27"/>
      <x:c r="K110" s="27" t="str">
        <x:v>Active</x:v>
      </x:c>
      <x:c r="L110" s="27" t="str"/>
      <x:c r="M110" s="27" t="str">
        <x:v>Review before seed</x:v>
      </x:c>
      <x:c r="N110" s="27" t="str">
        <x:v>https://ifdaonline.org/distributor-members/</x:v>
      </x:c>
      <x:c r="O110" s="54" t="n">
        <x:v>46217</x:v>
      </x:c>
    </x:row>
    <x:row r="111">
      <x:c r="A111" s="27" t="str">
        <x:v>legacy_food_group</x:v>
      </x:c>
      <x:c r="B111" s="27" t="str">
        <x:v>Legacy Food Group</x:v>
      </x:c>
      <x:c r="C111" s="27" t="str"/>
      <x:c r="D111" s="27" t="str">
        <x:v>legacyfoodgroup.com</x:v>
      </x:c>
      <x:c r="E111" s="27" t="str">
        <x:v>US</x:v>
      </x:c>
      <x:c r="F111" s="27"/>
      <x:c r="G111" s="27" t="str">
        <x:v>Distributor network / cooperative</x:v>
      </x:c>
      <x:c r="H111" s="27" t="str">
        <x:v>Distributor network</x:v>
      </x:c>
      <x:c r="I111" s="27" t="str"/>
      <x:c r="J111" s="27"/>
      <x:c r="K111" s="27" t="str">
        <x:v>Active</x:v>
      </x:c>
      <x:c r="L111" s="27" t="str"/>
      <x:c r="M111" s="27" t="str">
        <x:v>Reference only</x:v>
      </x:c>
      <x:c r="N111" s="27" t="str">
        <x:v>https://ifdaonline.org/distributor-members/</x:v>
      </x:c>
      <x:c r="O111" s="54" t="n">
        <x:v>46217</x:v>
      </x:c>
    </x:row>
    <x:row r="112">
      <x:c r="A112" s="27" t="str">
        <x:v>loffredo_fresh_foods</x:v>
      </x:c>
      <x:c r="B112" s="27" t="str">
        <x:v>Loffredo Fresh Foods</x:v>
      </x:c>
      <x:c r="C112" s="27" t="str"/>
      <x:c r="D112" s="27" t="str">
        <x:v>loffredo.com</x:v>
      </x:c>
      <x:c r="E112" s="27" t="str">
        <x:v>US</x:v>
      </x:c>
      <x:c r="F112" s="27" t="str">
        <x:v>IA,NE,IL,MO,WI</x:v>
      </x:c>
      <x:c r="G112" s="27" t="str">
        <x:v>Direct foodservice distributor</x:v>
      </x:c>
      <x:c r="H112" s="27" t="str">
        <x:v>Produce / broadline</x:v>
      </x:c>
      <x:c r="I112" s="27" t="str"/>
      <x:c r="J112" s="27"/>
      <x:c r="K112" s="27" t="str">
        <x:v>Active</x:v>
      </x:c>
      <x:c r="L112" s="27" t="str"/>
      <x:c r="M112" s="27" t="str">
        <x:v>Approved seed</x:v>
      </x:c>
      <x:c r="N112" s="27" t="str">
        <x:v>https://ifdaonline.org/distributor-members/</x:v>
      </x:c>
      <x:c r="O112" s="54" t="n">
        <x:v>46217</x:v>
      </x:c>
    </x:row>
    <x:row r="113">
      <x:c r="A113" s="27" t="str">
        <x:v>lumina_foods_llc</x:v>
      </x:c>
      <x:c r="B113" s="27" t="str">
        <x:v>Lumina Foods, LLC</x:v>
      </x:c>
      <x:c r="C113" s="27" t="str"/>
      <x:c r="D113" s="27" t="str">
        <x:v>luminafoods.com</x:v>
      </x:c>
      <x:c r="E113" s="27" t="str">
        <x:v>US</x:v>
      </x:c>
      <x:c r="F113" s="27" t="str">
        <x:v>TN,KY,GA,AL,IN,OH</x:v>
      </x:c>
      <x:c r="G113" s="27" t="str">
        <x:v>Direct foodservice distributor</x:v>
      </x:c>
      <x:c r="H113" s="27" t="str">
        <x:v>Pizza / specialty</x:v>
      </x:c>
      <x:c r="I113" s="27" t="str"/>
      <x:c r="J113" s="27"/>
      <x:c r="K113" s="27" t="str">
        <x:v>Active</x:v>
      </x:c>
      <x:c r="L113" s="27" t="str"/>
      <x:c r="M113" s="27" t="str">
        <x:v>Review before seed</x:v>
      </x:c>
      <x:c r="N113" s="27" t="str">
        <x:v>https://ifdaonline.org/distributor-members/</x:v>
      </x:c>
      <x:c r="O113" s="54" t="n">
        <x:v>46217</x:v>
      </x:c>
    </x:row>
    <x:row r="114">
      <x:c r="A114" s="27" t="str">
        <x:v>m_j_kellner_company_inc</x:v>
      </x:c>
      <x:c r="B114" s="27" t="str">
        <x:v>M.J. Kellner Company, Inc.</x:v>
      </x:c>
      <x:c r="C114" s="27" t="str"/>
      <x:c r="D114" s="27" t="str">
        <x:v>mjkellner.com</x:v>
      </x:c>
      <x:c r="E114" s="27" t="str">
        <x:v>US</x:v>
      </x:c>
      <x:c r="F114" s="27" t="str">
        <x:v>IL,MO,IN,IA</x:v>
      </x:c>
      <x:c r="G114" s="27" t="str">
        <x:v>Direct foodservice distributor</x:v>
      </x:c>
      <x:c r="H114" s="27" t="str">
        <x:v>Broadline</x:v>
      </x:c>
      <x:c r="I114" s="27" t="str"/>
      <x:c r="J114" s="27"/>
      <x:c r="K114" s="27" t="str">
        <x:v>Active</x:v>
      </x:c>
      <x:c r="L114" s="27" t="str"/>
      <x:c r="M114" s="27" t="str">
        <x:v>Review before seed</x:v>
      </x:c>
      <x:c r="N114" s="27" t="str">
        <x:v>https://ifdaonline.org/distributor-members/</x:v>
      </x:c>
      <x:c r="O114" s="54" t="n">
        <x:v>46217</x:v>
      </x:c>
    </x:row>
    <x:row r="115">
      <x:c r="A115" s="27" t="str">
        <x:v>maplevale_farms_inc</x:v>
      </x:c>
      <x:c r="B115" s="27" t="str">
        <x:v>Maplevale Farms, Inc.</x:v>
      </x:c>
      <x:c r="C115" s="27" t="str"/>
      <x:c r="D115" s="27" t="str">
        <x:v>maplevalefarms.com</x:v>
      </x:c>
      <x:c r="E115" s="27" t="str">
        <x:v>US</x:v>
      </x:c>
      <x:c r="F115" s="27" t="str">
        <x:v>NY,PA,OH</x:v>
      </x:c>
      <x:c r="G115" s="27" t="str">
        <x:v>Direct foodservice distributor</x:v>
      </x:c>
      <x:c r="H115" s="27" t="str">
        <x:v>Broadline</x:v>
      </x:c>
      <x:c r="I115" s="27" t="str"/>
      <x:c r="J115" s="27"/>
      <x:c r="K115" s="27" t="str">
        <x:v>Active</x:v>
      </x:c>
      <x:c r="L115" s="27" t="str"/>
      <x:c r="M115" s="27" t="str">
        <x:v>Approved seed</x:v>
      </x:c>
      <x:c r="N115" s="27" t="str">
        <x:v>https://ifdaonline.org/distributor-members/</x:v>
      </x:c>
      <x:c r="O115" s="54" t="n">
        <x:v>46217</x:v>
      </x:c>
    </x:row>
    <x:row r="116">
      <x:c r="A116" s="27" t="str">
        <x:v>martin_bros_distributing_co_inc</x:v>
      </x:c>
      <x:c r="B116" s="27" t="str">
        <x:v>Martin Bros. Distributing Co., Inc.</x:v>
      </x:c>
      <x:c r="C116" s="27" t="str"/>
      <x:c r="D116" s="27" t="str">
        <x:v>www2.martinsnet.com</x:v>
      </x:c>
      <x:c r="E116" s="27" t="str">
        <x:v>US</x:v>
      </x:c>
      <x:c r="F116" s="27" t="str">
        <x:v>IA,IL,WI,NE,MO,MN</x:v>
      </x:c>
      <x:c r="G116" s="27" t="str">
        <x:v>Direct foodservice distributor</x:v>
      </x:c>
      <x:c r="H116" s="27" t="str">
        <x:v>Broadline</x:v>
      </x:c>
      <x:c r="I116" s="27" t="str"/>
      <x:c r="J116" s="27"/>
      <x:c r="K116" s="27" t="str">
        <x:v>Active</x:v>
      </x:c>
      <x:c r="L116" s="27" t="str"/>
      <x:c r="M116" s="27" t="str">
        <x:v>Approved seed</x:v>
      </x:c>
      <x:c r="N116" s="27" t="str">
        <x:v>https://ifdaonline.org/distributor-members/</x:v>
      </x:c>
      <x:c r="O116" s="54" t="n">
        <x:v>46217</x:v>
      </x:c>
    </x:row>
    <x:row r="117">
      <x:c r="A117" s="27" t="str">
        <x:v>maximum_quality_foods</x:v>
      </x:c>
      <x:c r="B117" s="27" t="str">
        <x:v>Maximum Quality Foods</x:v>
      </x:c>
      <x:c r="C117" s="27" t="str"/>
      <x:c r="D117" s="27" t="str">
        <x:v>maximumqualityfoods.com</x:v>
      </x:c>
      <x:c r="E117" s="27" t="str">
        <x:v>US</x:v>
      </x:c>
      <x:c r="F117" s="27" t="str">
        <x:v>NJ,NY,PA,CT,DE,MD</x:v>
      </x:c>
      <x:c r="G117" s="27" t="str">
        <x:v>Direct foodservice distributor</x:v>
      </x:c>
      <x:c r="H117" s="27" t="str">
        <x:v>Broadline / specialty</x:v>
      </x:c>
      <x:c r="I117" s="27" t="str"/>
      <x:c r="J117" s="27"/>
      <x:c r="K117" s="27" t="str">
        <x:v>Active</x:v>
      </x:c>
      <x:c r="L117" s="27" t="str"/>
      <x:c r="M117" s="27" t="str">
        <x:v>Review before seed</x:v>
      </x:c>
      <x:c r="N117" s="27" t="str">
        <x:v>https://ifdaonline.org/distributor-members/</x:v>
      </x:c>
      <x:c r="O117" s="54" t="n">
        <x:v>46217</x:v>
      </x:c>
    </x:row>
    <x:row r="118">
      <x:c r="A118" s="27" t="str">
        <x:v>mcdonald_wholesale_company</x:v>
      </x:c>
      <x:c r="B118" s="27" t="str">
        <x:v>McDonald Wholesale Company</x:v>
      </x:c>
      <x:c r="C118" s="27" t="str"/>
      <x:c r="D118" s="27" t="str">
        <x:v>mcdonaldwhsl.com</x:v>
      </x:c>
      <x:c r="E118" s="27" t="str">
        <x:v>US</x:v>
      </x:c>
      <x:c r="F118" s="27" t="str">
        <x:v>OR,WA,ID,CA</x:v>
      </x:c>
      <x:c r="G118" s="27" t="str">
        <x:v>Direct foodservice distributor</x:v>
      </x:c>
      <x:c r="H118" s="27" t="str">
        <x:v>Broadline</x:v>
      </x:c>
      <x:c r="I118" s="27" t="str"/>
      <x:c r="J118" s="27"/>
      <x:c r="K118" s="27" t="str">
        <x:v>Active</x:v>
      </x:c>
      <x:c r="L118" s="27" t="str"/>
      <x:c r="M118" s="27" t="str">
        <x:v>Review before seed</x:v>
      </x:c>
      <x:c r="N118" s="27" t="str">
        <x:v>https://ifdaonline.org/distributor-members/</x:v>
      </x:c>
      <x:c r="O118" s="54" t="n">
        <x:v>46217</x:v>
      </x:c>
    </x:row>
    <x:row r="119">
      <x:c r="A119" s="27" t="str">
        <x:v>mclane_foodservice_inc</x:v>
      </x:c>
      <x:c r="B119" s="27" t="str">
        <x:v>McLane Foodservice, Inc.</x:v>
      </x:c>
      <x:c r="C119" s="27" t="str"/>
      <x:c r="D119" s="27" t="str">
        <x:v>mclaneco.com</x:v>
      </x:c>
      <x:c r="E119" s="27" t="str">
        <x:v>US</x:v>
      </x:c>
      <x:c r="F119" s="27"/>
      <x:c r="G119" s="27" t="str">
        <x:v>Direct foodservice distributor</x:v>
      </x:c>
      <x:c r="H119" s="27" t="str">
        <x:v>National chain / convenience</x:v>
      </x:c>
      <x:c r="I119" s="27" t="str"/>
      <x:c r="J119" s="27"/>
      <x:c r="K119" s="27" t="str">
        <x:v>Active</x:v>
      </x:c>
      <x:c r="L119" s="27" t="str"/>
      <x:c r="M119" s="27" t="str">
        <x:v>Approved seed</x:v>
      </x:c>
      <x:c r="N119" s="27" t="str">
        <x:v>https://ifdaonline.org/distributor-members/</x:v>
      </x:c>
      <x:c r="O119" s="54" t="n">
        <x:v>46217</x:v>
      </x:c>
    </x:row>
    <x:row r="120">
      <x:c r="A120" s="27" t="str">
        <x:v>merchants_grocery_co_inc</x:v>
      </x:c>
      <x:c r="B120" s="27" t="str">
        <x:v>Merchants Grocery Co. Inc.</x:v>
      </x:c>
      <x:c r="C120" s="27" t="str"/>
      <x:c r="D120" s="27" t="str">
        <x:v>merchants-grocery.com</x:v>
      </x:c>
      <x:c r="E120" s="27" t="str">
        <x:v>US</x:v>
      </x:c>
      <x:c r="F120" s="27" t="str">
        <x:v>VA,WV,MD,NC,PA</x:v>
      </x:c>
      <x:c r="G120" s="27" t="str">
        <x:v>Direct foodservice distributor</x:v>
      </x:c>
      <x:c r="H120" s="27" t="str">
        <x:v>Convenience / foodservice</x:v>
      </x:c>
      <x:c r="I120" s="27" t="str"/>
      <x:c r="J120" s="27"/>
      <x:c r="K120" s="27" t="str">
        <x:v>Active</x:v>
      </x:c>
      <x:c r="L120" s="27" t="str"/>
      <x:c r="M120" s="27" t="str">
        <x:v>Review before seed</x:v>
      </x:c>
      <x:c r="N120" s="27" t="str">
        <x:v>https://ifdaonline.org/distributor-members/</x:v>
      </x:c>
      <x:c r="O120" s="54" t="n">
        <x:v>46217</x:v>
      </x:c>
    </x:row>
    <x:row r="121">
      <x:c r="A121" s="27" t="str">
        <x:v>miller_distributing</x:v>
      </x:c>
      <x:c r="B121" s="27" t="str">
        <x:v>Miller Distributing</x:v>
      </x:c>
      <x:c r="C121" s="27" t="str"/>
      <x:c r="D121" s="27" t="str"/>
      <x:c r="E121" s="27" t="str">
        <x:v>US</x:v>
      </x:c>
      <x:c r="F121" s="27" t="str">
        <x:v>PA</x:v>
      </x:c>
      <x:c r="G121" s="27" t="str">
        <x:v>Direct foodservice distributor</x:v>
      </x:c>
      <x:c r="H121" s="27" t="str">
        <x:v>Convenience, grocery and foodservice wholesale</x:v>
      </x:c>
      <x:c r="I121" s="27" t="str"/>
      <x:c r="J121" s="27" t="str"/>
      <x:c r="K121" s="27" t="str">
        <x:v>Active</x:v>
      </x:c>
      <x:c r="L121" s="27" t="str"/>
      <x:c r="M121" s="27" t="str">
        <x:v>Approved seed</x:v>
      </x:c>
      <x:c r="N121" s="27" t="str">
        <x:v>https://golbon.com/press/golbon-welcomes-new-member-miller-dist/</x:v>
      </x:c>
      <x:c r="O121" s="54" t="n">
        <x:v>46217</x:v>
      </x:c>
    </x:row>
    <x:row r="122">
      <x:c r="A122" s="27" t="str">
        <x:v>multi_plus_dm_inc</x:v>
      </x:c>
      <x:c r="B122" s="27" t="str">
        <x:v>Multi Plus DM Inc.</x:v>
      </x:c>
      <x:c r="C122" s="27" t="str"/>
      <x:c r="D122" s="27" t="str">
        <x:v>multiplusdm.com</x:v>
      </x:c>
      <x:c r="E122" s="27" t="str">
        <x:v>US</x:v>
      </x:c>
      <x:c r="F122" s="27" t="str">
        <x:v>FL</x:v>
      </x:c>
      <x:c r="G122" s="27" t="str">
        <x:v>Direct foodservice distributor</x:v>
      </x:c>
      <x:c r="H122" s="27" t="str">
        <x:v>Specialty / wholesale</x:v>
      </x:c>
      <x:c r="I122" s="27" t="str"/>
      <x:c r="J122" s="27"/>
      <x:c r="K122" s="27" t="str">
        <x:v>Active</x:v>
      </x:c>
      <x:c r="L122" s="27" t="str"/>
      <x:c r="M122" s="27" t="str">
        <x:v>Review before seed</x:v>
      </x:c>
      <x:c r="N122" s="27" t="str">
        <x:v>https://ifdaonline.org/distributor-members/</x:v>
      </x:c>
      <x:c r="O122" s="54" t="n">
        <x:v>46217</x:v>
      </x:c>
    </x:row>
    <x:row r="123">
      <x:c r="A123" s="27" t="str">
        <x:v>national_dcp</x:v>
      </x:c>
      <x:c r="B123" s="27" t="str">
        <x:v>National DCP</x:v>
      </x:c>
      <x:c r="C123" s="27" t="str"/>
      <x:c r="D123" s="27" t="str">
        <x:v>nationaldcp.com</x:v>
      </x:c>
      <x:c r="E123" s="27" t="str">
        <x:v>US</x:v>
      </x:c>
      <x:c r="F123" s="27"/>
      <x:c r="G123" s="27" t="str">
        <x:v>Closed or contract supply system</x:v>
      </x:c>
      <x:c r="H123" s="27" t="str">
        <x:v>Closed-system / chain supply</x:v>
      </x:c>
      <x:c r="I123" s="27" t="str"/>
      <x:c r="J123" s="27"/>
      <x:c r="K123" s="27" t="str">
        <x:v>Active</x:v>
      </x:c>
      <x:c r="L123" s="27" t="str"/>
      <x:c r="M123" s="27" t="str">
        <x:v>Reference only</x:v>
      </x:c>
      <x:c r="N123" s="27" t="str">
        <x:v>https://ifdaonline.org/distributor-members/</x:v>
      </x:c>
      <x:c r="O123" s="54" t="n">
        <x:v>46217</x:v>
      </x:c>
    </x:row>
    <x:row r="124">
      <x:c r="A124" s="27" t="str">
        <x:v>navis_food_partners</x:v>
      </x:c>
      <x:c r="B124" s="27" t="str">
        <x:v>Navis Food Partners</x:v>
      </x:c>
      <x:c r="C124" s="27" t="str"/>
      <x:c r="D124" s="27" t="str">
        <x:v>navisfood.com</x:v>
      </x:c>
      <x:c r="E124" s="27" t="str">
        <x:v>US</x:v>
      </x:c>
      <x:c r="F124" s="27"/>
      <x:c r="G124" s="27" t="str">
        <x:v>Distributor network / cooperative</x:v>
      </x:c>
      <x:c r="H124" s="27" t="str">
        <x:v>Distributor network</x:v>
      </x:c>
      <x:c r="I124" s="27" t="str"/>
      <x:c r="J124" s="27"/>
      <x:c r="K124" s="27" t="str">
        <x:v>Active</x:v>
      </x:c>
      <x:c r="L124" s="27" t="str"/>
      <x:c r="M124" s="27" t="str">
        <x:v>Reference only</x:v>
      </x:c>
      <x:c r="N124" s="27" t="str">
        <x:v>https://ifdaonline.org/distributor-members/</x:v>
      </x:c>
      <x:c r="O124" s="54" t="n">
        <x:v>46217</x:v>
      </x:c>
    </x:row>
    <x:row r="125">
      <x:c r="A125" s="27" t="str">
        <x:v>nicholas_and_company_inc</x:v>
      </x:c>
      <x:c r="B125" s="27" t="str">
        <x:v>Nicholas and Company, Inc.</x:v>
      </x:c>
      <x:c r="C125" s="27" t="str"/>
      <x:c r="D125" s="27" t="str">
        <x:v>nicholasandco.com</x:v>
      </x:c>
      <x:c r="E125" s="27" t="str">
        <x:v>US</x:v>
      </x:c>
      <x:c r="F125" s="27" t="str">
        <x:v>UT,NV,ID,WY,MT,AZ</x:v>
      </x:c>
      <x:c r="G125" s="27" t="str">
        <x:v>Direct foodservice distributor</x:v>
      </x:c>
      <x:c r="H125" s="27" t="str">
        <x:v>Broadline</x:v>
      </x:c>
      <x:c r="I125" s="27" t="str"/>
      <x:c r="J125" s="27"/>
      <x:c r="K125" s="27" t="str">
        <x:v>Active</x:v>
      </x:c>
      <x:c r="L125" s="27" t="str"/>
      <x:c r="M125" s="27" t="str">
        <x:v>Approved seed</x:v>
      </x:c>
      <x:c r="N125" s="27" t="str">
        <x:v>https://ifdaonline.org/distributor-members/</x:v>
      </x:c>
      <x:c r="O125" s="54" t="n">
        <x:v>46217</x:v>
      </x:c>
    </x:row>
    <x:row r="126">
      <x:c r="A126" s="27" t="str">
        <x:v>north_bay_wholesale</x:v>
      </x:c>
      <x:c r="B126" s="27" t="str">
        <x:v>North Bay Wholesale</x:v>
      </x:c>
      <x:c r="C126" s="27" t="str">
        <x:v>North Bay Wholefoods</x:v>
      </x:c>
      <x:c r="D126" s="27" t="str">
        <x:v>northbaywholesale.com</x:v>
      </x:c>
      <x:c r="E126" s="27" t="str">
        <x:v>US</x:v>
      </x:c>
      <x:c r="F126" s="27" t="str">
        <x:v>CA</x:v>
      </x:c>
      <x:c r="G126" s="27" t="str">
        <x:v>Direct foodservice distributor</x:v>
      </x:c>
      <x:c r="H126" s="27" t="str">
        <x:v>Broadline / pizza and Mexican restaurant supply</x:v>
      </x:c>
      <x:c r="I126" s="27" t="str">
        <x:v>public_ecommerce</x:v>
      </x:c>
      <x:c r="J126" s="27" t="str">
        <x:v>https://www.northbaywholesale.com/shop</x:v>
      </x:c>
      <x:c r="K126" s="27" t="str">
        <x:v>Active</x:v>
      </x:c>
      <x:c r="L126" s="27" t="str"/>
      <x:c r="M126" s="27" t="str">
        <x:v>Approved seed</x:v>
      </x:c>
      <x:c r="N126" s="27" t="str">
        <x:v>https://golbon.com/press/golbon-welcomes-new-member-north-bay-wholesale/</x:v>
      </x:c>
      <x:c r="O126" s="54" t="n">
        <x:v>46217</x:v>
      </x:c>
    </x:row>
    <x:row r="127">
      <x:c r="A127" s="27" t="str">
        <x:v>northern_haserot_food_service</x:v>
      </x:c>
      <x:c r="B127" s="27" t="str">
        <x:v>Northern Haserot Food Service</x:v>
      </x:c>
      <x:c r="C127" s="27" t="str"/>
      <x:c r="D127" s="27" t="str">
        <x:v>northernhaserot.com</x:v>
      </x:c>
      <x:c r="E127" s="27" t="str">
        <x:v>US</x:v>
      </x:c>
      <x:c r="F127" s="27" t="str">
        <x:v>OH,MI</x:v>
      </x:c>
      <x:c r="G127" s="27" t="str">
        <x:v>Direct foodservice distributor</x:v>
      </x:c>
      <x:c r="H127" s="27" t="str">
        <x:v>Broadline</x:v>
      </x:c>
      <x:c r="I127" s="27" t="str"/>
      <x:c r="J127" s="27"/>
      <x:c r="K127" s="27" t="str">
        <x:v>Active</x:v>
      </x:c>
      <x:c r="L127" s="27" t="str"/>
      <x:c r="M127" s="27" t="str">
        <x:v>Approved seed</x:v>
      </x:c>
      <x:c r="N127" s="27" t="str">
        <x:v>https://ifdaonline.org/distributor-members/</x:v>
      </x:c>
      <x:c r="O127" s="54" t="n">
        <x:v>46217</x:v>
      </x:c>
    </x:row>
    <x:row r="128">
      <x:c r="A128" s="27" t="str">
        <x:v>novick_brothers_corp</x:v>
      </x:c>
      <x:c r="B128" s="27" t="str">
        <x:v>Novick Brothers Corp.</x:v>
      </x:c>
      <x:c r="C128" s="27" t="str"/>
      <x:c r="D128" s="27" t="str">
        <x:v>novickcorp.com</x:v>
      </x:c>
      <x:c r="E128" s="27" t="str">
        <x:v>US</x:v>
      </x:c>
      <x:c r="F128" s="27" t="str">
        <x:v>NJ,NY,PA,CT</x:v>
      </x:c>
      <x:c r="G128" s="27" t="str">
        <x:v>Direct foodservice distributor</x:v>
      </x:c>
      <x:c r="H128" s="27" t="str">
        <x:v>Broadline / institutional</x:v>
      </x:c>
      <x:c r="I128" s="27" t="str"/>
      <x:c r="J128" s="27"/>
      <x:c r="K128" s="27" t="str">
        <x:v>Active</x:v>
      </x:c>
      <x:c r="L128" s="27" t="str"/>
      <x:c r="M128" s="27" t="str">
        <x:v>Review before seed</x:v>
      </x:c>
      <x:c r="N128" s="27" t="str">
        <x:v>https://ifdaonline.org/distributor-members/</x:v>
      </x:c>
      <x:c r="O128" s="54" t="n">
        <x:v>46217</x:v>
      </x:c>
    </x:row>
    <x:row r="129">
      <x:c r="A129" s="27" t="str">
        <x:v>ole_tyme_produce</x:v>
      </x:c>
      <x:c r="B129" s="27" t="str">
        <x:v>Ole Tyme Produce</x:v>
      </x:c>
      <x:c r="C129" s="27" t="str"/>
      <x:c r="D129" s="27" t="str">
        <x:v>oletyme.com</x:v>
      </x:c>
      <x:c r="E129" s="27" t="str">
        <x:v>US</x:v>
      </x:c>
      <x:c r="F129" s="27" t="str">
        <x:v>MO,IL,KS,AR</x:v>
      </x:c>
      <x:c r="G129" s="27" t="str">
        <x:v>Direct foodservice distributor</x:v>
      </x:c>
      <x:c r="H129" s="27" t="str">
        <x:v>Produce</x:v>
      </x:c>
      <x:c r="I129" s="27" t="str"/>
      <x:c r="J129" s="27"/>
      <x:c r="K129" s="27" t="str">
        <x:v>Active</x:v>
      </x:c>
      <x:c r="L129" s="27" t="str"/>
      <x:c r="M129" s="27" t="str">
        <x:v>Review before seed</x:v>
      </x:c>
      <x:c r="N129" s="27" t="str">
        <x:v>https://ifdaonline.org/distributor-members/</x:v>
      </x:c>
      <x:c r="O129" s="54" t="n">
        <x:v>46217</x:v>
      </x:c>
    </x:row>
    <x:row r="130">
      <x:c r="A130" s="27" t="str">
        <x:v>pacific_provisions_hawaii</x:v>
      </x:c>
      <x:c r="B130" s="27" t="str">
        <x:v>Pacific Provisions Hawaii</x:v>
      </x:c>
      <x:c r="C130" s="27" t="str"/>
      <x:c r="D130" s="27" t="str">
        <x:v>pacificprovisionshawaii.com</x:v>
      </x:c>
      <x:c r="E130" s="27" t="str">
        <x:v>US</x:v>
      </x:c>
      <x:c r="F130" s="27" t="str">
        <x:v>HI</x:v>
      </x:c>
      <x:c r="G130" s="27" t="str">
        <x:v>Direct foodservice distributor</x:v>
      </x:c>
      <x:c r="H130" s="27" t="str">
        <x:v>Broadline / Hawaii</x:v>
      </x:c>
      <x:c r="I130" s="27" t="str"/>
      <x:c r="J130" s="27"/>
      <x:c r="K130" s="27" t="str">
        <x:v>Active</x:v>
      </x:c>
      <x:c r="L130" s="27" t="str"/>
      <x:c r="M130" s="27" t="str">
        <x:v>Approved seed</x:v>
      </x:c>
      <x:c r="N130" s="27" t="str">
        <x:v>https://ifdaonline.org/distributor-members/</x:v>
      </x:c>
      <x:c r="O130" s="54" t="n">
        <x:v>46217</x:v>
      </x:c>
    </x:row>
    <x:row r="131">
      <x:c r="A131" s="27" t="str">
        <x:v>palmer_food_services</x:v>
      </x:c>
      <x:c r="B131" s="27" t="str">
        <x:v>Palmer Food Services</x:v>
      </x:c>
      <x:c r="C131" s="27" t="str"/>
      <x:c r="D131" s="27" t="str">
        <x:v>palmerfoods.com</x:v>
      </x:c>
      <x:c r="E131" s="27" t="str">
        <x:v>US</x:v>
      </x:c>
      <x:c r="F131" s="27" t="str">
        <x:v>NY</x:v>
      </x:c>
      <x:c r="G131" s="27" t="str">
        <x:v>Direct foodservice distributor</x:v>
      </x:c>
      <x:c r="H131" s="27" t="str">
        <x:v>Broadline / center-of-plate</x:v>
      </x:c>
      <x:c r="I131" s="27" t="str"/>
      <x:c r="J131" s="27" t="str">
        <x:v>https://palmerfoods.com/order-online/</x:v>
      </x:c>
      <x:c r="K131" s="27" t="str">
        <x:v>Active</x:v>
      </x:c>
      <x:c r="L131" s="27" t="str"/>
      <x:c r="M131" s="27" t="str">
        <x:v>Approved seed</x:v>
      </x:c>
      <x:c r="N131" s="27" t="str">
        <x:v>https://palmerfoods.com/order-online/</x:v>
      </x:c>
      <x:c r="O131" s="54" t="n">
        <x:v>46217</x:v>
      </x:c>
    </x:row>
    <x:row r="132">
      <x:c r="A132" s="27" t="str">
        <x:v>performance_food_group</x:v>
      </x:c>
      <x:c r="B132" s="27" t="str">
        <x:v>Performance Food Group</x:v>
      </x:c>
      <x:c r="C132" s="27" t="str">
        <x:v>PFG | Performance Foodservice</x:v>
      </x:c>
      <x:c r="D132" s="27" t="str">
        <x:v>pfgc.com</x:v>
      </x:c>
      <x:c r="E132" s="27" t="str">
        <x:v>US</x:v>
      </x:c>
      <x:c r="F132" s="27"/>
      <x:c r="G132" s="27" t="str">
        <x:v>Direct foodservice distributor</x:v>
      </x:c>
      <x:c r="H132" s="27" t="str">
        <x:v>National broadline</x:v>
      </x:c>
      <x:c r="I132" s="27" t="str">
        <x:v>pfg_customerfirst</x:v>
      </x:c>
      <x:c r="J132" s="27" t="str">
        <x:v>https://www.performancefoodservice.com/Your-Operation/CustomerFirst</x:v>
      </x:c>
      <x:c r="K132" s="27" t="str">
        <x:v>Active</x:v>
      </x:c>
      <x:c r="L132" s="27" t="str"/>
      <x:c r="M132" s="27" t="str">
        <x:v>Approved seed</x:v>
      </x:c>
      <x:c r="N132" s="27" t="str">
        <x:v>https://www.performancefoodservice.com/Your-Operation/CustomerFirst</x:v>
      </x:c>
      <x:c r="O132" s="54" t="n">
        <x:v>46217</x:v>
      </x:c>
    </x:row>
    <x:row r="133">
      <x:c r="A133" s="27" t="str">
        <x:v>phillips_food_service_llc</x:v>
      </x:c>
      <x:c r="B133" s="27" t="str">
        <x:v>Phillips Food Service, LLC</x:v>
      </x:c>
      <x:c r="C133" s="27" t="str"/>
      <x:c r="D133" s="27" t="str">
        <x:v>phillipsfoodservice.net</x:v>
      </x:c>
      <x:c r="E133" s="27" t="str">
        <x:v>US</x:v>
      </x:c>
      <x:c r="F133" s="27" t="str">
        <x:v>TX</x:v>
      </x:c>
      <x:c r="G133" s="27" t="str">
        <x:v>Direct foodservice distributor</x:v>
      </x:c>
      <x:c r="H133" s="27" t="str">
        <x:v>Broadline</x:v>
      </x:c>
      <x:c r="I133" s="27" t="str"/>
      <x:c r="J133" s="27"/>
      <x:c r="K133" s="27" t="str">
        <x:v>Active</x:v>
      </x:c>
      <x:c r="L133" s="27" t="str"/>
      <x:c r="M133" s="27" t="str">
        <x:v>Review before seed</x:v>
      </x:c>
      <x:c r="N133" s="27" t="str">
        <x:v>https://ifdaonline.org/distributor-members/</x:v>
      </x:c>
      <x:c r="O133" s="54" t="n">
        <x:v>46217</x:v>
      </x:c>
    </x:row>
    <x:row r="134">
      <x:c r="A134" s="27" t="str">
        <x:v>plymouth_inc</x:v>
      </x:c>
      <x:c r="B134" s="27" t="str">
        <x:v>Plymouth, Inc.</x:v>
      </x:c>
      <x:c r="C134" s="27" t="str"/>
      <x:c r="D134" s="27" t="str"/>
      <x:c r="E134" s="27" t="str">
        <x:v>US</x:v>
      </x:c>
      <x:c r="F134" s="27" t="str">
        <x:v>WA</x:v>
      </x:c>
      <x:c r="G134" s="27" t="str">
        <x:v>Direct foodservice distributor</x:v>
      </x:c>
      <x:c r="H134" s="27" t="str">
        <x:v>Meat, poultry, seafood and refrigerated freight</x:v>
      </x:c>
      <x:c r="I134" s="27" t="str"/>
      <x:c r="J134" s="27" t="str"/>
      <x:c r="K134" s="27" t="str">
        <x:v>Active</x:v>
      </x:c>
      <x:c r="L134" s="27" t="str"/>
      <x:c r="M134" s="27" t="str">
        <x:v>Review before seed</x:v>
      </x:c>
      <x:c r="N134" s="27" t="str">
        <x:v>https://golbon.com/press/golbon-welcomes-new-member-plymouth-inc/</x:v>
      </x:c>
      <x:c r="O134" s="54" t="n">
        <x:v>46217</x:v>
      </x:c>
    </x:row>
    <x:row r="135">
      <x:c r="A135" s="27" t="str">
        <x:v>pratts_foodservice</x:v>
      </x:c>
      <x:c r="B135" s="27" t="str">
        <x:v>Pratts Foodservice</x:v>
      </x:c>
      <x:c r="C135" s="27" t="str"/>
      <x:c r="D135" s="27" t="str">
        <x:v>ww1.pratts.com</x:v>
      </x:c>
      <x:c r="E135" s="27" t="str">
        <x:v>US</x:v>
      </x:c>
      <x:c r="F135" s="27" t="str">
        <x:v>MN,ND,SD,WI,IA</x:v>
      </x:c>
      <x:c r="G135" s="27" t="str">
        <x:v>Direct foodservice distributor</x:v>
      </x:c>
      <x:c r="H135" s="27" t="str">
        <x:v>Broadline</x:v>
      </x:c>
      <x:c r="I135" s="27" t="str"/>
      <x:c r="J135" s="27"/>
      <x:c r="K135" s="27" t="str">
        <x:v>Active</x:v>
      </x:c>
      <x:c r="L135" s="27" t="str"/>
      <x:c r="M135" s="27" t="str">
        <x:v>Review before seed</x:v>
      </x:c>
      <x:c r="N135" s="27" t="str">
        <x:v>https://ifdaonline.org/distributor-members/</x:v>
      </x:c>
      <x:c r="O135" s="54" t="n">
        <x:v>46217</x:v>
      </x:c>
    </x:row>
    <x:row r="136">
      <x:c r="A136" s="27" t="str">
        <x:v>prime_source_foods</x:v>
      </x:c>
      <x:c r="B136" s="27" t="str">
        <x:v>Prime Source Foods</x:v>
      </x:c>
      <x:c r="C136" s="27" t="str"/>
      <x:c r="D136" s="27" t="str">
        <x:v>primesourcefoods.biz</x:v>
      </x:c>
      <x:c r="E136" s="27" t="str">
        <x:v>US</x:v>
      </x:c>
      <x:c r="F136" s="27" t="str">
        <x:v>NH,ME,MA,VT,CT,RI</x:v>
      </x:c>
      <x:c r="G136" s="27" t="str">
        <x:v>Direct foodservice distributor</x:v>
      </x:c>
      <x:c r="H136" s="27" t="str">
        <x:v>Center-of-plate / specialty</x:v>
      </x:c>
      <x:c r="I136" s="27" t="str"/>
      <x:c r="J136" s="27"/>
      <x:c r="K136" s="27" t="str">
        <x:v>Active</x:v>
      </x:c>
      <x:c r="L136" s="27" t="str"/>
      <x:c r="M136" s="27" t="str">
        <x:v>Approved seed</x:v>
      </x:c>
      <x:c r="N136" s="27" t="str">
        <x:v>https://ifdaonline.org/distributor-members/</x:v>
      </x:c>
      <x:c r="O136" s="54" t="n">
        <x:v>46217</x:v>
      </x:c>
    </x:row>
    <x:row r="137">
      <x:c r="A137" s="27" t="str">
        <x:v>quaker_valley_foods_inc</x:v>
      </x:c>
      <x:c r="B137" s="27" t="str">
        <x:v>Quaker Valley Foods, Inc.</x:v>
      </x:c>
      <x:c r="C137" s="27" t="str"/>
      <x:c r="D137" s="27" t="str">
        <x:v>quakervalleyfoods.com</x:v>
      </x:c>
      <x:c r="E137" s="27" t="str">
        <x:v>US</x:v>
      </x:c>
      <x:c r="F137" s="27" t="str">
        <x:v>PA,NJ,NY,DE,MD,DC,VA</x:v>
      </x:c>
      <x:c r="G137" s="27" t="str">
        <x:v>Direct foodservice distributor</x:v>
      </x:c>
      <x:c r="H137" s="27" t="str">
        <x:v>Meat / specialty broadline</x:v>
      </x:c>
      <x:c r="I137" s="27" t="str"/>
      <x:c r="J137" s="27"/>
      <x:c r="K137" s="27" t="str">
        <x:v>Active</x:v>
      </x:c>
      <x:c r="L137" s="27" t="str"/>
      <x:c r="M137" s="27" t="str">
        <x:v>Approved seed</x:v>
      </x:c>
      <x:c r="N137" s="27" t="str">
        <x:v>https://ifdaonline.org/distributor-members/</x:v>
      </x:c>
      <x:c r="O137" s="54" t="n">
        <x:v>46217</x:v>
      </x:c>
    </x:row>
    <x:row r="138">
      <x:c r="A138" s="27" t="str">
        <x:v>quality_custom_distribution_services</x:v>
      </x:c>
      <x:c r="B138" s="27" t="str">
        <x:v>Quality Custom Distribution Services</x:v>
      </x:c>
      <x:c r="C138" s="27" t="str"/>
      <x:c r="D138" s="27" t="str">
        <x:v>qualitycustomdistribution.com</x:v>
      </x:c>
      <x:c r="E138" s="27" t="str">
        <x:v>US</x:v>
      </x:c>
      <x:c r="F138" s="27"/>
      <x:c r="G138" s="27" t="str">
        <x:v>Closed or contract supply system</x:v>
      </x:c>
      <x:c r="H138" s="27" t="str">
        <x:v>Closed-system / chain supply</x:v>
      </x:c>
      <x:c r="I138" s="27" t="str"/>
      <x:c r="J138" s="27"/>
      <x:c r="K138" s="27" t="str">
        <x:v>Active</x:v>
      </x:c>
      <x:c r="L138" s="27" t="str"/>
      <x:c r="M138" s="27" t="str">
        <x:v>Reference only</x:v>
      </x:c>
      <x:c r="N138" s="27" t="str">
        <x:v>https://ifdaonline.org/distributor-members/</x:v>
      </x:c>
      <x:c r="O138" s="54" t="n">
        <x:v>46217</x:v>
      </x:c>
    </x:row>
    <x:row r="139">
      <x:c r="A139" s="27" t="str">
        <x:v>quality_food_company</x:v>
      </x:c>
      <x:c r="B139" s="27" t="str">
        <x:v>Quality Food Company</x:v>
      </x:c>
      <x:c r="C139" s="27" t="str"/>
      <x:c r="D139" s="27" t="str">
        <x:v>qualityfoodcompany.com</x:v>
      </x:c>
      <x:c r="E139" s="27" t="str">
        <x:v>US</x:v>
      </x:c>
      <x:c r="F139" s="27" t="str">
        <x:v>MA,RI,CT,NH</x:v>
      </x:c>
      <x:c r="G139" s="27" t="str">
        <x:v>Direct foodservice distributor</x:v>
      </x:c>
      <x:c r="H139" s="27" t="str">
        <x:v>Italian / specialty</x:v>
      </x:c>
      <x:c r="I139" s="27" t="str"/>
      <x:c r="J139" s="27"/>
      <x:c r="K139" s="27" t="str">
        <x:v>Active</x:v>
      </x:c>
      <x:c r="L139" s="27" t="str"/>
      <x:c r="M139" s="27" t="str">
        <x:v>Review before seed</x:v>
      </x:c>
      <x:c r="N139" s="27" t="str">
        <x:v>https://ifdaonline.org/distributor-members/</x:v>
      </x:c>
      <x:c r="O139" s="54" t="n">
        <x:v>46217</x:v>
      </x:c>
    </x:row>
    <x:row r="140">
      <x:c r="A140" s="27" t="str">
        <x:v>ray_s_produce_inc</x:v>
      </x:c>
      <x:c r="B140" s="27" t="str">
        <x:v>Ray's Produce, Inc.</x:v>
      </x:c>
      <x:c r="C140" s="27" t="str"/>
      <x:c r="D140" s="27" t="str"/>
      <x:c r="E140" s="27" t="str">
        <x:v>US</x:v>
      </x:c>
      <x:c r="F140" s="27" t="str">
        <x:v>OR,WA</x:v>
      </x:c>
      <x:c r="G140" s="27" t="str">
        <x:v>Direct foodservice distributor</x:v>
      </x:c>
      <x:c r="H140" s="27" t="str">
        <x:v>Produce distribution</x:v>
      </x:c>
      <x:c r="I140" s="27" t="str"/>
      <x:c r="J140" s="27" t="str"/>
      <x:c r="K140" s="27" t="str">
        <x:v>Active</x:v>
      </x:c>
      <x:c r="L140" s="27" t="str"/>
      <x:c r="M140" s="27" t="str">
        <x:v>Approved seed</x:v>
      </x:c>
      <x:c r="N140" s="27" t="str">
        <x:v>https://www.frostyacres.com/news/d1d5f4a2-60ab-41e3-a926-40b2cefc6b6d</x:v>
      </x:c>
      <x:c r="O140" s="54" t="n">
        <x:v>46217</x:v>
      </x:c>
    </x:row>
    <x:row r="141">
      <x:c r="A141" s="27" t="str">
        <x:v>restaurant_depot_jetro</x:v>
      </x:c>
      <x:c r="B141" s="27" t="str">
        <x:v>Restaurant Depot / Jetro</x:v>
      </x:c>
      <x:c r="C141" s="27" t="str">
        <x:v>Jetro | Jetro Cash &amp; Carry | Restaurant Depot</x:v>
      </x:c>
      <x:c r="D141" s="27" t="str">
        <x:v>restaurantdepot.com</x:v>
      </x:c>
      <x:c r="E141" s="27" t="str">
        <x:v>US</x:v>
      </x:c>
      <x:c r="F141" s="27"/>
      <x:c r="G141" s="27" t="str">
        <x:v>Cash-and-carry wholesaler</x:v>
      </x:c>
      <x:c r="H141" s="27" t="str">
        <x:v>Cash-and-carry / wholesale</x:v>
      </x:c>
      <x:c r="I141" s="27" t="str"/>
      <x:c r="J141" s="27"/>
      <x:c r="K141" s="27" t="str">
        <x:v>Active; acquisition announced, not yet closed</x:v>
      </x:c>
      <x:c r="L141" s="27" t="str">
        <x:v>Jetro Holdings / pending Sysco transaction</x:v>
      </x:c>
      <x:c r="M141" s="27" t="str">
        <x:v>Approved seed</x:v>
      </x:c>
      <x:c r="N141" s="27" t="str">
        <x:v>https://www.restaurantdepot.com</x:v>
      </x:c>
      <x:c r="O141" s="54" t="n">
        <x:v>46217</x:v>
      </x:c>
    </x:row>
    <x:row r="142">
      <x:c r="A142" s="27" t="str">
        <x:v>restaurant_packaging_and_provisions</x:v>
      </x:c>
      <x:c r="B142" s="27" t="str">
        <x:v>Restaurant Packaging &amp; Provisions</x:v>
      </x:c>
      <x:c r="C142" s="27" t="str">
        <x:v>RPP</x:v>
      </x:c>
      <x:c r="D142" s="27" t="str"/>
      <x:c r="E142" s="27" t="str">
        <x:v>US</x:v>
      </x:c>
      <x:c r="F142" s="27" t="str">
        <x:v>CA</x:v>
      </x:c>
      <x:c r="G142" s="27" t="str">
        <x:v>Direct foodservice distributor</x:v>
      </x:c>
      <x:c r="H142" s="27" t="str">
        <x:v>Foodservice distribution and packaging</x:v>
      </x:c>
      <x:c r="I142" s="27" t="str"/>
      <x:c r="J142" s="27" t="str"/>
      <x:c r="K142" s="27" t="str">
        <x:v>Active</x:v>
      </x:c>
      <x:c r="L142" s="27" t="str"/>
      <x:c r="M142" s="27" t="str">
        <x:v>Review before seed</x:v>
      </x:c>
      <x:c r="N142" s="27" t="str">
        <x:v>https://golbon.com/press-release-date/2025/</x:v>
      </x:c>
      <x:c r="O142" s="54" t="n">
        <x:v>46217</x:v>
      </x:c>
    </x:row>
    <x:row r="143">
      <x:c r="A143" s="27" t="str">
        <x:v>royal_food_service</x:v>
      </x:c>
      <x:c r="B143" s="27" t="str">
        <x:v>Royal Food Service</x:v>
      </x:c>
      <x:c r="C143" s="27" t="str"/>
      <x:c r="D143" s="27" t="str">
        <x:v>royalfoodservice.com</x:v>
      </x:c>
      <x:c r="E143" s="27" t="str">
        <x:v>US</x:v>
      </x:c>
      <x:c r="F143" s="27" t="str">
        <x:v>GA,AL,TN,SC,NC</x:v>
      </x:c>
      <x:c r="G143" s="27" t="str">
        <x:v>Direct foodservice distributor</x:v>
      </x:c>
      <x:c r="H143" s="27" t="str">
        <x:v>Produce / broadline</x:v>
      </x:c>
      <x:c r="I143" s="27" t="str"/>
      <x:c r="J143" s="27"/>
      <x:c r="K143" s="27" t="str">
        <x:v>Active</x:v>
      </x:c>
      <x:c r="L143" s="27" t="str"/>
      <x:c r="M143" s="27" t="str">
        <x:v>Review before seed</x:v>
      </x:c>
      <x:c r="N143" s="27" t="str">
        <x:v>https://ifdaonline.org/distributor-members/</x:v>
      </x:c>
      <x:c r="O143" s="54" t="n">
        <x:v>46217</x:v>
      </x:c>
    </x:row>
    <x:row r="144">
      <x:c r="A144" s="27" t="str">
        <x:v>rrs_foodservice</x:v>
      </x:c>
      <x:c r="B144" s="27" t="str">
        <x:v>RRS Foodservice</x:v>
      </x:c>
      <x:c r="C144" s="27" t="str"/>
      <x:c r="D144" s="27" t="str">
        <x:v>rrsfoodservice.com</x:v>
      </x:c>
      <x:c r="E144" s="27" t="str">
        <x:v>US</x:v>
      </x:c>
      <x:c r="F144" s="27" t="str">
        <x:v>VA,NC,SC,WV,MD</x:v>
      </x:c>
      <x:c r="G144" s="27" t="str">
        <x:v>Direct foodservice distributor</x:v>
      </x:c>
      <x:c r="H144" s="27" t="str">
        <x:v>Broadline</x:v>
      </x:c>
      <x:c r="I144" s="27" t="str"/>
      <x:c r="J144" s="27"/>
      <x:c r="K144" s="27" t="str">
        <x:v>Active</x:v>
      </x:c>
      <x:c r="L144" s="27" t="str"/>
      <x:c r="M144" s="27" t="str">
        <x:v>Review before seed</x:v>
      </x:c>
      <x:c r="N144" s="27" t="str">
        <x:v>https://ifdaonline.org/distributor-members/</x:v>
      </x:c>
      <x:c r="O144" s="54" t="n">
        <x:v>46217</x:v>
      </x:c>
    </x:row>
    <x:row r="145">
      <x:c r="A145" s="27" t="str">
        <x:v>s_and_w_wholesale_foods_llc</x:v>
      </x:c>
      <x:c r="B145" s="27" t="str">
        <x:v>S &amp; W Wholesale Foods, LLC</x:v>
      </x:c>
      <x:c r="C145" s="27" t="str"/>
      <x:c r="D145" s="27" t="str">
        <x:v>s-wfoods.com</x:v>
      </x:c>
      <x:c r="E145" s="27" t="str">
        <x:v>US</x:v>
      </x:c>
      <x:c r="F145" s="27" t="str">
        <x:v>LA,MS,AL,FL</x:v>
      </x:c>
      <x:c r="G145" s="27" t="str">
        <x:v>Direct foodservice distributor</x:v>
      </x:c>
      <x:c r="H145" s="27" t="str">
        <x:v>Broadline</x:v>
      </x:c>
      <x:c r="I145" s="27" t="str"/>
      <x:c r="J145" s="27"/>
      <x:c r="K145" s="27" t="str">
        <x:v>Active</x:v>
      </x:c>
      <x:c r="L145" s="27" t="str"/>
      <x:c r="M145" s="27" t="str">
        <x:v>Review before seed</x:v>
      </x:c>
      <x:c r="N145" s="27" t="str">
        <x:v>https://ifdaonline.org/distributor-members/</x:v>
      </x:c>
      <x:c r="O145" s="54" t="n">
        <x:v>46217</x:v>
      </x:c>
    </x:row>
    <x:row r="146">
      <x:c r="A146" s="27" t="str">
        <x:v>s_abraham_and_sons_inc</x:v>
      </x:c>
      <x:c r="B146" s="27" t="str">
        <x:v>S. Abraham &amp; Sons, Inc.</x:v>
      </x:c>
      <x:c r="C146" s="27" t="str"/>
      <x:c r="D146" s="27" t="str">
        <x:v>sasinc.com</x:v>
      </x:c>
      <x:c r="E146" s="27" t="str">
        <x:v>US</x:v>
      </x:c>
      <x:c r="F146" s="27" t="str">
        <x:v>MI,IN,OH,IL,WI,KY</x:v>
      </x:c>
      <x:c r="G146" s="27" t="str">
        <x:v>Direct foodservice distributor</x:v>
      </x:c>
      <x:c r="H146" s="27" t="str">
        <x:v>Convenience / foodservice</x:v>
      </x:c>
      <x:c r="I146" s="27" t="str"/>
      <x:c r="J146" s="27"/>
      <x:c r="K146" s="27" t="str">
        <x:v>Active</x:v>
      </x:c>
      <x:c r="L146" s="27" t="str"/>
      <x:c r="M146" s="27" t="str">
        <x:v>Approved seed</x:v>
      </x:c>
      <x:c r="N146" s="27" t="str">
        <x:v>https://ifdaonline.org/distributor-members/</x:v>
      </x:c>
      <x:c r="O146" s="54" t="n">
        <x:v>46217</x:v>
      </x:c>
    </x:row>
    <x:row r="147">
      <x:c r="A147" s="27" t="str">
        <x:v>sanwa_food_group</x:v>
      </x:c>
      <x:c r="B147" s="27" t="str">
        <x:v>Sanwa Food Group</x:v>
      </x:c>
      <x:c r="C147" s="27" t="str"/>
      <x:c r="D147" s="27" t="str">
        <x:v>sanwagrowers.com</x:v>
      </x:c>
      <x:c r="E147" s="27" t="str">
        <x:v>US</x:v>
      </x:c>
      <x:c r="F147" s="27" t="str">
        <x:v>FL</x:v>
      </x:c>
      <x:c r="G147" s="27" t="str">
        <x:v>Direct foodservice distributor</x:v>
      </x:c>
      <x:c r="H147" s="27" t="str">
        <x:v>Produce / broadline</x:v>
      </x:c>
      <x:c r="I147" s="27" t="str"/>
      <x:c r="J147" s="27"/>
      <x:c r="K147" s="27" t="str">
        <x:v>Active</x:v>
      </x:c>
      <x:c r="L147" s="27" t="str"/>
      <x:c r="M147" s="27" t="str">
        <x:v>Approved seed</x:v>
      </x:c>
      <x:c r="N147" s="27" t="str">
        <x:v>https://ifdaonline.org/distributor-members/</x:v>
      </x:c>
      <x:c r="O147" s="54" t="n">
        <x:v>46217</x:v>
      </x:c>
    </x:row>
    <x:row r="148">
      <x:c r="A148" s="27" t="str">
        <x:v>saval_foodservice</x:v>
      </x:c>
      <x:c r="B148" s="27" t="str">
        <x:v>Saval Foodservice</x:v>
      </x:c>
      <x:c r="C148" s="27" t="str"/>
      <x:c r="D148" s="27" t="str">
        <x:v>savalfoods.com</x:v>
      </x:c>
      <x:c r="E148" s="27" t="str">
        <x:v>US</x:v>
      </x:c>
      <x:c r="F148" s="27" t="str">
        <x:v>MD,VA,DC,DE,PA</x:v>
      </x:c>
      <x:c r="G148" s="27" t="str">
        <x:v>Direct foodservice distributor</x:v>
      </x:c>
      <x:c r="H148" s="27" t="str">
        <x:v>Broadline</x:v>
      </x:c>
      <x:c r="I148" s="27" t="str">
        <x:v>cut_and_dry</x:v>
      </x:c>
      <x:c r="J148" s="27" t="str">
        <x:v>https://savalfoodservice.cutanddry.com/</x:v>
      </x:c>
      <x:c r="K148" s="27" t="str">
        <x:v>Active</x:v>
      </x:c>
      <x:c r="L148" s="27" t="str"/>
      <x:c r="M148" s="27" t="str">
        <x:v>Approved seed</x:v>
      </x:c>
      <x:c r="N148" s="27" t="str">
        <x:v>https://www.savalfoods.com/online-ordering</x:v>
      </x:c>
      <x:c r="O148" s="54" t="n">
        <x:v>46217</x:v>
      </x:c>
    </x:row>
    <x:row r="149">
      <x:c r="A149" s="27" t="str">
        <x:v>scarmardo_foodservice_inc</x:v>
      </x:c>
      <x:c r="B149" s="27" t="str">
        <x:v>Scarmardo Foodservice Inc.</x:v>
      </x:c>
      <x:c r="C149" s="27" t="str"/>
      <x:c r="D149" s="27" t="str">
        <x:v>scarmardofoods.com</x:v>
      </x:c>
      <x:c r="E149" s="27" t="str">
        <x:v>US</x:v>
      </x:c>
      <x:c r="F149" s="27" t="str">
        <x:v>TX</x:v>
      </x:c>
      <x:c r="G149" s="27" t="str">
        <x:v>Direct foodservice distributor</x:v>
      </x:c>
      <x:c r="H149" s="27" t="str">
        <x:v>Broadline</x:v>
      </x:c>
      <x:c r="I149" s="27" t="str"/>
      <x:c r="J149" s="27"/>
      <x:c r="K149" s="27" t="str">
        <x:v>Active</x:v>
      </x:c>
      <x:c r="L149" s="27" t="str"/>
      <x:c r="M149" s="27" t="str">
        <x:v>Approved seed</x:v>
      </x:c>
      <x:c r="N149" s="27" t="str">
        <x:v>https://ifdaonline.org/distributor-members/</x:v>
      </x:c>
      <x:c r="O149" s="54" t="n">
        <x:v>46217</x:v>
      </x:c>
    </x:row>
    <x:row r="150">
      <x:c r="A150" s="27" t="str">
        <x:v>schenck_foods_company</x:v>
      </x:c>
      <x:c r="B150" s="27" t="str">
        <x:v>Schenck Foods Company</x:v>
      </x:c>
      <x:c r="C150" s="27" t="str"/>
      <x:c r="D150" s="27" t="str">
        <x:v>schenckfoods.com</x:v>
      </x:c>
      <x:c r="E150" s="27" t="str">
        <x:v>US</x:v>
      </x:c>
      <x:c r="F150" s="27" t="str">
        <x:v>VA,WV,MD,PA</x:v>
      </x:c>
      <x:c r="G150" s="27" t="str">
        <x:v>Direct foodservice distributor</x:v>
      </x:c>
      <x:c r="H150" s="27" t="str">
        <x:v>Broadline</x:v>
      </x:c>
      <x:c r="I150" s="27" t="str"/>
      <x:c r="J150" s="27"/>
      <x:c r="K150" s="27" t="str">
        <x:v>Active</x:v>
      </x:c>
      <x:c r="L150" s="27" t="str"/>
      <x:c r="M150" s="27" t="str">
        <x:v>Review before seed</x:v>
      </x:c>
      <x:c r="N150" s="27" t="str">
        <x:v>https://ifdaonline.org/distributor-members/</x:v>
      </x:c>
      <x:c r="O150" s="54" t="n">
        <x:v>46217</x:v>
      </x:c>
    </x:row>
    <x:row r="151">
      <x:c r="A151" s="27" t="str">
        <x:v>schiff_s_food_service_inc</x:v>
      </x:c>
      <x:c r="B151" s="27" t="str">
        <x:v>Schiff's Food Service, Inc.</x:v>
      </x:c>
      <x:c r="C151" s="27" t="str"/>
      <x:c r="D151" s="27" t="str">
        <x:v>schiffs.com</x:v>
      </x:c>
      <x:c r="E151" s="27" t="str">
        <x:v>US</x:v>
      </x:c>
      <x:c r="F151" s="27" t="str">
        <x:v>PA,NJ,NY</x:v>
      </x:c>
      <x:c r="G151" s="27" t="str">
        <x:v>Direct foodservice distributor</x:v>
      </x:c>
      <x:c r="H151" s="27" t="str">
        <x:v>Broadline</x:v>
      </x:c>
      <x:c r="I151" s="27" t="str"/>
      <x:c r="J151" s="27"/>
      <x:c r="K151" s="27" t="str">
        <x:v>Active</x:v>
      </x:c>
      <x:c r="L151" s="27" t="str"/>
      <x:c r="M151" s="27" t="str">
        <x:v>Review before seed</x:v>
      </x:c>
      <x:c r="N151" s="27" t="str">
        <x:v>https://ifdaonline.org/distributor-members/</x:v>
      </x:c>
      <x:c r="O151" s="54" t="n">
        <x:v>46217</x:v>
      </x:c>
    </x:row>
    <x:row r="152">
      <x:c r="A152" s="27" t="str">
        <x:v>scooter_s_coffee_harvest_roasting</x:v>
      </x:c>
      <x:c r="B152" s="27" t="str">
        <x:v>Scooter's Coffee / Harvest Roasting</x:v>
      </x:c>
      <x:c r="C152" s="27" t="str"/>
      <x:c r="D152" s="27" t="str">
        <x:v>harvestroasting.com</x:v>
      </x:c>
      <x:c r="E152" s="27" t="str">
        <x:v>US</x:v>
      </x:c>
      <x:c r="F152" s="27"/>
      <x:c r="G152" s="27" t="str">
        <x:v>Closed or contract supply system</x:v>
      </x:c>
      <x:c r="H152" s="27" t="str">
        <x:v>Closed-system / coffee chain</x:v>
      </x:c>
      <x:c r="I152" s="27" t="str"/>
      <x:c r="J152" s="27"/>
      <x:c r="K152" s="27" t="str">
        <x:v>Active</x:v>
      </x:c>
      <x:c r="L152" s="27" t="str"/>
      <x:c r="M152" s="27" t="str">
        <x:v>Reference only</x:v>
      </x:c>
      <x:c r="N152" s="27" t="str">
        <x:v>https://ifdaonline.org/distributor-members/</x:v>
      </x:c>
      <x:c r="O152" s="54" t="n">
        <x:v>46217</x:v>
      </x:c>
    </x:row>
    <x:row r="153">
      <x:c r="A153" s="27" t="str">
        <x:v>sgc_foodservice</x:v>
      </x:c>
      <x:c r="B153" s="27" t="str">
        <x:v>SGC Foodservice</x:v>
      </x:c>
      <x:c r="C153" s="27" t="str"/>
      <x:c r="D153" s="27" t="str">
        <x:v>sgcfoodservice.com</x:v>
      </x:c>
      <x:c r="E153" s="27" t="str">
        <x:v>US</x:v>
      </x:c>
      <x:c r="F153" s="27" t="str">
        <x:v>IL,MO,KS,OK,AR,TN</x:v>
      </x:c>
      <x:c r="G153" s="27" t="str">
        <x:v>Direct foodservice distributor</x:v>
      </x:c>
      <x:c r="H153" s="27" t="str">
        <x:v>Broadline</x:v>
      </x:c>
      <x:c r="I153" s="27" t="str">
        <x:v>powernet_pnet</x:v>
      </x:c>
      <x:c r="J153" s="27" t="str">
        <x:v>https://pnet.sgcfoodservice.com/</x:v>
      </x:c>
      <x:c r="K153" s="27" t="str">
        <x:v>Active</x:v>
      </x:c>
      <x:c r="L153" s="27" t="str"/>
      <x:c r="M153" s="27" t="str">
        <x:v>Approved seed</x:v>
      </x:c>
      <x:c r="N153" s="27" t="str">
        <x:v>https://www.sgcfoodservice.com/mysgc-order-entry/</x:v>
      </x:c>
      <x:c r="O153" s="54" t="n">
        <x:v>46217</x:v>
      </x:c>
    </x:row>
    <x:row r="154">
      <x:c r="A154" s="27" t="str">
        <x:v>shamrock_foods_company</x:v>
      </x:c>
      <x:c r="B154" s="27" t="str">
        <x:v>Shamrock Foods Company</x:v>
      </x:c>
      <x:c r="C154" s="27" t="str"/>
      <x:c r="D154" s="27" t="str">
        <x:v>shamrockfoods.com</x:v>
      </x:c>
      <x:c r="E154" s="27" t="str">
        <x:v>US</x:v>
      </x:c>
      <x:c r="F154" s="27" t="str">
        <x:v>AZ,CA,CO,ID,KS,MT,NE,NV,NM,OR,SD,TX,UT,WY</x:v>
      </x:c>
      <x:c r="G154" s="27" t="str">
        <x:v>Direct foodservice distributor</x:v>
      </x:c>
      <x:c r="H154" s="27" t="str">
        <x:v>Broadline</x:v>
      </x:c>
      <x:c r="I154" s="27" t="str">
        <x:v>my_shamrock</x:v>
      </x:c>
      <x:c r="J154" s="27" t="str">
        <x:v>https://m.myshamrock.com/</x:v>
      </x:c>
      <x:c r="K154" s="27" t="str">
        <x:v>Active</x:v>
      </x:c>
      <x:c r="L154" s="27" t="str"/>
      <x:c r="M154" s="27" t="str">
        <x:v>Approved seed</x:v>
      </x:c>
      <x:c r="N154" s="27" t="str">
        <x:v>https://www.shamrockfoodservice.com/resources/shamrockorders/</x:v>
      </x:c>
      <x:c r="O154" s="54" t="n">
        <x:v>46217</x:v>
      </x:c>
    </x:row>
    <x:row r="155">
      <x:c r="A155" s="27" t="str">
        <x:v>shore_foods</x:v>
      </x:c>
      <x:c r="B155" s="27" t="str">
        <x:v>Shore Foods</x:v>
      </x:c>
      <x:c r="C155" s="27" t="str"/>
      <x:c r="D155" s="27" t="str">
        <x:v>shorefoodsnj.com</x:v>
      </x:c>
      <x:c r="E155" s="27" t="str">
        <x:v>US</x:v>
      </x:c>
      <x:c r="F155" s="27" t="str">
        <x:v>NJ</x:v>
      </x:c>
      <x:c r="G155" s="27" t="str">
        <x:v>Direct foodservice distributor</x:v>
      </x:c>
      <x:c r="H155" s="27" t="str">
        <x:v>Broadline foodservice</x:v>
      </x:c>
      <x:c r="I155" s="27" t="str">
        <x:v>public_ecommerce</x:v>
      </x:c>
      <x:c r="J155" s="27" t="str">
        <x:v>https://shorefoodsnj.com/shop/</x:v>
      </x:c>
      <x:c r="K155" s="27" t="str">
        <x:v>Active</x:v>
      </x:c>
      <x:c r="L155" s="27" t="str"/>
      <x:c r="M155" s="27" t="str">
        <x:v>Approved seed</x:v>
      </x:c>
      <x:c r="N155" s="27" t="str">
        <x:v>https://golbon.com/press/golbon-welcomes-new-member-shore-foods/</x:v>
      </x:c>
      <x:c r="O155" s="54" t="n">
        <x:v>46217</x:v>
      </x:c>
    </x:row>
    <x:row r="156">
      <x:c r="A156" s="27" t="str">
        <x:v>sirna_and_sons_produce</x:v>
      </x:c>
      <x:c r="B156" s="27" t="str">
        <x:v>Sirna and Sons Produce</x:v>
      </x:c>
      <x:c r="C156" s="27" t="str"/>
      <x:c r="D156" s="27" t="str"/>
      <x:c r="E156" s="27" t="str">
        <x:v>US</x:v>
      </x:c>
      <x:c r="F156" s="27" t="str">
        <x:v>OH,PA</x:v>
      </x:c>
      <x:c r="G156" s="27" t="str">
        <x:v>Direct foodservice distributor</x:v>
      </x:c>
      <x:c r="H156" s="27" t="str">
        <x:v>Produce distribution</x:v>
      </x:c>
      <x:c r="I156" s="27" t="str"/>
      <x:c r="J156" s="27" t="str"/>
      <x:c r="K156" s="27" t="str">
        <x:v>Active</x:v>
      </x:c>
      <x:c r="L156" s="27" t="str"/>
      <x:c r="M156" s="27" t="str">
        <x:v>Review before seed</x:v>
      </x:c>
      <x:c r="N156" s="27" t="str">
        <x:v>https://golbon.com/press/</x:v>
      </x:c>
      <x:c r="O156" s="54" t="n">
        <x:v>46217</x:v>
      </x:c>
    </x:row>
    <x:row r="157">
      <x:c r="A157" s="27" t="str">
        <x:v>snack_attack_inc</x:v>
      </x:c>
      <x:c r="B157" s="27" t="str">
        <x:v>Snack Attack, Inc.</x:v>
      </x:c>
      <x:c r="C157" s="27" t="str">
        <x:v>Snack Attack Distributing</x:v>
      </x:c>
      <x:c r="D157" s="27" t="str">
        <x:v>snackattackdistributors.com</x:v>
      </x:c>
      <x:c r="E157" s="27" t="str">
        <x:v>US</x:v>
      </x:c>
      <x:c r="F157" s="27" t="str">
        <x:v>OH</x:v>
      </x:c>
      <x:c r="G157" s="27" t="str">
        <x:v>Direct foodservice distributor</x:v>
      </x:c>
      <x:c r="H157" s="27" t="str">
        <x:v>Institutional shelf-stable food and commissary supplies</x:v>
      </x:c>
      <x:c r="I157" s="27" t="str"/>
      <x:c r="J157" s="27" t="str"/>
      <x:c r="K157" s="27" t="str">
        <x:v>Active</x:v>
      </x:c>
      <x:c r="L157" s="27" t="str"/>
      <x:c r="M157" s="27" t="str">
        <x:v>Approved seed</x:v>
      </x:c>
      <x:c r="N157" s="27" t="str">
        <x:v>https://golbon.com/press/golbon-welcomes-new-member-snack-attack/</x:v>
      </x:c>
      <x:c r="O157" s="54" t="n">
        <x:v>46217</x:v>
      </x:c>
    </x:row>
    <x:row r="158">
      <x:c r="A158" s="27" t="str">
        <x:v>sofo_foods</x:v>
      </x:c>
      <x:c r="B158" s="27" t="str">
        <x:v>Sofo Foods</x:v>
      </x:c>
      <x:c r="C158" s="27" t="str"/>
      <x:c r="D158" s="27" t="str">
        <x:v>sofofoods.com</x:v>
      </x:c>
      <x:c r="E158" s="27" t="str">
        <x:v>US</x:v>
      </x:c>
      <x:c r="F158" s="27" t="str">
        <x:v>OH,GA,TX</x:v>
      </x:c>
      <x:c r="G158" s="27" t="str">
        <x:v>Direct foodservice distributor</x:v>
      </x:c>
      <x:c r="H158" s="27" t="str">
        <x:v>Italian / broadline</x:v>
      </x:c>
      <x:c r="I158" s="27" t="str">
        <x:v>powernet_pnet</x:v>
      </x:c>
      <x:c r="J158" s="27" t="str">
        <x:v>https://order.sofofoods.com/pnet/eOrder</x:v>
      </x:c>
      <x:c r="K158" s="27" t="str">
        <x:v>Active</x:v>
      </x:c>
      <x:c r="L158" s="27" t="str"/>
      <x:c r="M158" s="27" t="str">
        <x:v>Approved seed</x:v>
      </x:c>
      <x:c r="N158" s="27" t="str">
        <x:v>https://www.sofofoods.com/order</x:v>
      </x:c>
      <x:c r="O158" s="54" t="n">
        <x:v>46217</x:v>
      </x:c>
    </x:row>
    <x:row r="159">
      <x:c r="A159" s="27" t="str">
        <x:v>sonship_distributing</x:v>
      </x:c>
      <x:c r="B159" s="27" t="str">
        <x:v>SonShip Distributing</x:v>
      </x:c>
      <x:c r="C159" s="27" t="str"/>
      <x:c r="D159" s="27" t="str">
        <x:v>sonshipdist.com</x:v>
      </x:c>
      <x:c r="E159" s="27" t="str">
        <x:v>US</x:v>
      </x:c>
      <x:c r="F159" s="27" t="str"/>
      <x:c r="G159" s="27" t="str">
        <x:v>Direct foodservice distributor</x:v>
      </x:c>
      <x:c r="H159" s="27" t="str">
        <x:v>Consumer goods, grocery and foodservice distribution</x:v>
      </x:c>
      <x:c r="I159" s="27" t="str"/>
      <x:c r="J159" s="27" t="str"/>
      <x:c r="K159" s="27" t="str">
        <x:v>Active</x:v>
      </x:c>
      <x:c r="L159" s="27" t="str"/>
      <x:c r="M159" s="27" t="str">
        <x:v>Review before seed</x:v>
      </x:c>
      <x:c r="N159" s="27" t="str">
        <x:v>https://golbon.com/press/golbon-welcomes-new-member-sonship-distributing/</x:v>
      </x:c>
      <x:c r="O159" s="54" t="n">
        <x:v>46217</x:v>
      </x:c>
    </x:row>
    <x:row r="160">
      <x:c r="A160" s="27" t="str">
        <x:v>southeastern_food_merchandisers</x:v>
      </x:c>
      <x:c r="B160" s="27" t="str">
        <x:v>Southeastern Food Merchandisers</x:v>
      </x:c>
      <x:c r="C160" s="27" t="str"/>
      <x:c r="D160" s="27" t="str">
        <x:v>southeasternfood.com</x:v>
      </x:c>
      <x:c r="E160" s="27" t="str">
        <x:v>US</x:v>
      </x:c>
      <x:c r="F160" s="27" t="str">
        <x:v>AL,GA,FL,MS,TN</x:v>
      </x:c>
      <x:c r="G160" s="27" t="str">
        <x:v>Direct foodservice distributor</x:v>
      </x:c>
      <x:c r="H160" s="27" t="str">
        <x:v>Broadline / specialty</x:v>
      </x:c>
      <x:c r="I160" s="27" t="str"/>
      <x:c r="J160" s="27"/>
      <x:c r="K160" s="27" t="str">
        <x:v>Active</x:v>
      </x:c>
      <x:c r="L160" s="27" t="str"/>
      <x:c r="M160" s="27" t="str">
        <x:v>Review before seed</x:v>
      </x:c>
      <x:c r="N160" s="27" t="str">
        <x:v>https://ifdaonline.org/distributor-members/</x:v>
      </x:c>
      <x:c r="O160" s="54" t="n">
        <x:v>46217</x:v>
      </x:c>
    </x:row>
    <x:row r="161">
      <x:c r="A161" s="27" t="str">
        <x:v>southwest_traders_inc</x:v>
      </x:c>
      <x:c r="B161" s="27" t="str">
        <x:v>Southwest Traders, Inc.</x:v>
      </x:c>
      <x:c r="C161" s="27" t="str"/>
      <x:c r="D161" s="27" t="str">
        <x:v>southwesttraders.com</x:v>
      </x:c>
      <x:c r="E161" s="27" t="str">
        <x:v>US</x:v>
      </x:c>
      <x:c r="F161" s="27" t="str">
        <x:v>CA,AZ,NV</x:v>
      </x:c>
      <x:c r="G161" s="27" t="str">
        <x:v>Direct foodservice distributor</x:v>
      </x:c>
      <x:c r="H161" s="27" t="str">
        <x:v>Broadline / specialty</x:v>
      </x:c>
      <x:c r="I161" s="27" t="str"/>
      <x:c r="J161" s="27"/>
      <x:c r="K161" s="27" t="str">
        <x:v>Active</x:v>
      </x:c>
      <x:c r="L161" s="27" t="str"/>
      <x:c r="M161" s="27" t="str">
        <x:v>Review before seed</x:v>
      </x:c>
      <x:c r="N161" s="27" t="str">
        <x:v>https://ifdaonline.org/distributor-members/</x:v>
      </x:c>
      <x:c r="O161" s="54" t="n">
        <x:v>46217</x:v>
      </x:c>
    </x:row>
    <x:row r="162">
      <x:c r="A162" s="27" t="str">
        <x:v>suisan_company_limited</x:v>
      </x:c>
      <x:c r="B162" s="27" t="str">
        <x:v>Suisan Company, Limited</x:v>
      </x:c>
      <x:c r="C162" s="27" t="str"/>
      <x:c r="D162" s="27" t="str">
        <x:v>suisan.com</x:v>
      </x:c>
      <x:c r="E162" s="27" t="str">
        <x:v>US</x:v>
      </x:c>
      <x:c r="F162" s="27" t="str">
        <x:v>HI</x:v>
      </x:c>
      <x:c r="G162" s="27" t="str">
        <x:v>Direct foodservice distributor</x:v>
      </x:c>
      <x:c r="H162" s="27" t="str">
        <x:v>Broadline / Hawaii</x:v>
      </x:c>
      <x:c r="I162" s="27" t="str"/>
      <x:c r="J162" s="27"/>
      <x:c r="K162" s="27" t="str">
        <x:v>Active</x:v>
      </x:c>
      <x:c r="L162" s="27" t="str"/>
      <x:c r="M162" s="27" t="str">
        <x:v>Approved seed</x:v>
      </x:c>
      <x:c r="N162" s="27" t="str">
        <x:v>https://ifdaonline.org/distributor-members/</x:v>
      </x:c>
      <x:c r="O162" s="54" t="n">
        <x:v>46217</x:v>
      </x:c>
    </x:row>
    <x:row r="163">
      <x:c r="A163" s="27" t="str">
        <x:v>sutherland_s_foodservice_inc</x:v>
      </x:c>
      <x:c r="B163" s="27" t="str">
        <x:v>Sutherland's Foodservice, Inc.</x:v>
      </x:c>
      <x:c r="C163" s="27" t="str"/>
      <x:c r="D163" s="27" t="str">
        <x:v>suthfoodservice.com</x:v>
      </x:c>
      <x:c r="E163" s="27" t="str">
        <x:v>US</x:v>
      </x:c>
      <x:c r="F163" s="27" t="str">
        <x:v>GA,TN,AL,SC,NC</x:v>
      </x:c>
      <x:c r="G163" s="27" t="str">
        <x:v>Direct foodservice distributor</x:v>
      </x:c>
      <x:c r="H163" s="27" t="str">
        <x:v>Broadline</x:v>
      </x:c>
      <x:c r="I163" s="27" t="str"/>
      <x:c r="J163" s="27"/>
      <x:c r="K163" s="27" t="str">
        <x:v>Active</x:v>
      </x:c>
      <x:c r="L163" s="27" t="str"/>
      <x:c r="M163" s="27" t="str">
        <x:v>Review before seed</x:v>
      </x:c>
      <x:c r="N163" s="27" t="str">
        <x:v>https://ifdaonline.org/distributor-members/</x:v>
      </x:c>
      <x:c r="O163" s="54" t="n">
        <x:v>46217</x:v>
      </x:c>
    </x:row>
    <x:row r="164">
      <x:c r="A164" s="27" t="str">
        <x:v>sysco_corporation</x:v>
      </x:c>
      <x:c r="B164" s="27" t="str">
        <x:v>Sysco Corporation</x:v>
      </x:c>
      <x:c r="C164" s="27" t="str">
        <x:v>Sysco</x:v>
      </x:c>
      <x:c r="D164" s="27" t="str">
        <x:v>sysco.com</x:v>
      </x:c>
      <x:c r="E164" s="27" t="str">
        <x:v>US</x:v>
      </x:c>
      <x:c r="F164" s="27"/>
      <x:c r="G164" s="27" t="str">
        <x:v>Direct foodservice distributor</x:v>
      </x:c>
      <x:c r="H164" s="27" t="str">
        <x:v>National broadline</x:v>
      </x:c>
      <x:c r="I164" s="27" t="str">
        <x:v>sysco_shop</x:v>
      </x:c>
      <x:c r="J164" s="27" t="str">
        <x:v>https://shop.sysco.com/auth/login</x:v>
      </x:c>
      <x:c r="K164" s="27" t="str">
        <x:v>Active</x:v>
      </x:c>
      <x:c r="L164" s="27" t="str"/>
      <x:c r="M164" s="27" t="str">
        <x:v>Approved seed</x:v>
      </x:c>
      <x:c r="N164" s="27" t="str">
        <x:v>https://sysco.com/en-us/shopmobile</x:v>
      </x:c>
      <x:c r="O164" s="54" t="n">
        <x:v>46217</x:v>
      </x:c>
    </x:row>
    <x:row r="165">
      <x:c r="A165" s="27" t="str">
        <x:v>tankersley_foodservice_llc</x:v>
      </x:c>
      <x:c r="B165" s="27" t="str">
        <x:v>Tankersley Foodservice LLC</x:v>
      </x:c>
      <x:c r="C165" s="27" t="str"/>
      <x:c r="D165" s="27" t="str">
        <x:v>tankersleyfoods.com</x:v>
      </x:c>
      <x:c r="E165" s="27" t="str">
        <x:v>US</x:v>
      </x:c>
      <x:c r="F165" s="27" t="str">
        <x:v>AR,OK,TX,MO</x:v>
      </x:c>
      <x:c r="G165" s="27" t="str">
        <x:v>Direct foodservice distributor</x:v>
      </x:c>
      <x:c r="H165" s="27" t="str">
        <x:v>Broadline</x:v>
      </x:c>
      <x:c r="I165" s="27" t="str"/>
      <x:c r="J165" s="27"/>
      <x:c r="K165" s="27" t="str">
        <x:v>Active</x:v>
      </x:c>
      <x:c r="L165" s="27" t="str"/>
      <x:c r="M165" s="27" t="str">
        <x:v>Review before seed</x:v>
      </x:c>
      <x:c r="N165" s="27" t="str">
        <x:v>https://ifdaonline.org/distributor-members/</x:v>
      </x:c>
      <x:c r="O165" s="54" t="n">
        <x:v>46217</x:v>
      </x:c>
    </x:row>
    <x:row r="166">
      <x:c r="A166" s="27" t="str">
        <x:v>team_sledd</x:v>
      </x:c>
      <x:c r="B166" s="27" t="str">
        <x:v>Team Sledd</x:v>
      </x:c>
      <x:c r="C166" s="27" t="str"/>
      <x:c r="D166" s="27" t="str">
        <x:v>sleddco.com</x:v>
      </x:c>
      <x:c r="E166" s="27" t="str">
        <x:v>US</x:v>
      </x:c>
      <x:c r="F166" s="27" t="str">
        <x:v>WV,VA,OH,KY,PA</x:v>
      </x:c>
      <x:c r="G166" s="27" t="str">
        <x:v>Direct foodservice distributor</x:v>
      </x:c>
      <x:c r="H166" s="27" t="str">
        <x:v>Convenience / foodservice</x:v>
      </x:c>
      <x:c r="I166" s="27" t="str"/>
      <x:c r="J166" s="27"/>
      <x:c r="K166" s="27" t="str">
        <x:v>Active</x:v>
      </x:c>
      <x:c r="L166" s="27" t="str"/>
      <x:c r="M166" s="27" t="str">
        <x:v>Review before seed</x:v>
      </x:c>
      <x:c r="N166" s="27" t="str">
        <x:v>https://ifdaonline.org/distributor-members/</x:v>
      </x:c>
      <x:c r="O166" s="54" t="n">
        <x:v>46217</x:v>
      </x:c>
    </x:row>
    <x:row r="167">
      <x:c r="A167" s="27" t="str">
        <x:v>the_chefs_warehouse</x:v>
      </x:c>
      <x:c r="B167" s="27" t="str">
        <x:v>The Chefs' Warehouse</x:v>
      </x:c>
      <x:c r="C167" s="27" t="str">
        <x:v>Chefs Warehouse | CW</x:v>
      </x:c>
      <x:c r="D167" s="27" t="str">
        <x:v>chefswarehouse.com</x:v>
      </x:c>
      <x:c r="E167" s="27" t="str">
        <x:v>US</x:v>
      </x:c>
      <x:c r="F167" s="27" t="str">
        <x:v>CA,FL,GA,IL,MA,MD,NV,NJ,NY,OH,PA,TX,WA,DC</x:v>
      </x:c>
      <x:c r="G167" s="27" t="str">
        <x:v>Direct foodservice distributor</x:v>
      </x:c>
      <x:c r="H167" s="27" t="str">
        <x:v>Specialty broadline</x:v>
      </x:c>
      <x:c r="I167" s="27" t="str">
        <x:v>chefs_warehouse_portal</x:v>
      </x:c>
      <x:c r="J167" s="27" t="str">
        <x:v>https://www.chefswarehouse.com/login/</x:v>
      </x:c>
      <x:c r="K167" s="27" t="str">
        <x:v>Active</x:v>
      </x:c>
      <x:c r="L167" s="27" t="str"/>
      <x:c r="M167" s="27" t="str">
        <x:v>Approved seed</x:v>
      </x:c>
      <x:c r="N167" s="27" t="str">
        <x:v>https://www.chefswarehouse.com/login/</x:v>
      </x:c>
      <x:c r="O167" s="54" t="n">
        <x:v>46217</x:v>
      </x:c>
    </x:row>
    <x:row r="168">
      <x:c r="A168" s="27" t="str">
        <x:v>thompson_and_sons</x:v>
      </x:c>
      <x:c r="B168" s="27" t="str">
        <x:v>Thompson &amp; Sons</x:v>
      </x:c>
      <x:c r="C168" s="27" t="str">
        <x:v>Thompson's Food Service</x:v>
      </x:c>
      <x:c r="D168" s="27" t="str"/>
      <x:c r="E168" s="27" t="str">
        <x:v>US</x:v>
      </x:c>
      <x:c r="F168" s="27" t="str"/>
      <x:c r="G168" s="27" t="str">
        <x:v>Direct foodservice distributor</x:v>
      </x:c>
      <x:c r="H168" s="27" t="str">
        <x:v>Broadline foodservice</x:v>
      </x:c>
      <x:c r="I168" s="27" t="str"/>
      <x:c r="J168" s="27" t="str"/>
      <x:c r="K168" s="27" t="str">
        <x:v>Active</x:v>
      </x:c>
      <x:c r="L168" s="27" t="str"/>
      <x:c r="M168" s="27" t="str">
        <x:v>Review before seed</x:v>
      </x:c>
      <x:c r="N168" s="27" t="str">
        <x:v>https://www.frostyacres.com/news/4a85a539-f05b-4973-b09f-dff8b7ba4a60</x:v>
      </x:c>
      <x:c r="O168" s="54" t="n">
        <x:v>46217</x:v>
      </x:c>
    </x:row>
    <x:row r="169">
      <x:c r="A169" s="27" t="str">
        <x:v>thurston_foods_inc</x:v>
      </x:c>
      <x:c r="B169" s="27" t="str">
        <x:v>Thurston Foods, Inc.</x:v>
      </x:c>
      <x:c r="C169" s="27" t="str"/>
      <x:c r="D169" s="27" t="str">
        <x:v>thurstonfoods.com</x:v>
      </x:c>
      <x:c r="E169" s="27" t="str">
        <x:v>US</x:v>
      </x:c>
      <x:c r="F169" s="27" t="str">
        <x:v>CT,MA,NY,RI</x:v>
      </x:c>
      <x:c r="G169" s="27" t="str">
        <x:v>Direct foodservice distributor</x:v>
      </x:c>
      <x:c r="H169" s="27" t="str">
        <x:v>Broadline</x:v>
      </x:c>
      <x:c r="I169" s="27" t="str"/>
      <x:c r="J169" s="27"/>
      <x:c r="K169" s="27" t="str">
        <x:v>Active</x:v>
      </x:c>
      <x:c r="L169" s="27" t="str"/>
      <x:c r="M169" s="27" t="str">
        <x:v>Review before seed</x:v>
      </x:c>
      <x:c r="N169" s="27" t="str">
        <x:v>https://ifdaonline.org/distributor-members/</x:v>
      </x:c>
      <x:c r="O169" s="54" t="n">
        <x:v>46217</x:v>
      </x:c>
    </x:row>
    <x:row r="170">
      <x:c r="A170" s="27" t="str">
        <x:v>tri_mart_company</x:v>
      </x:c>
      <x:c r="B170" s="27" t="str">
        <x:v>Tri-Mart Company</x:v>
      </x:c>
      <x:c r="C170" s="27" t="str">
        <x:v>Midwest Food &amp; Tobacco Group</x:v>
      </x:c>
      <x:c r="D170" s="27" t="str"/>
      <x:c r="E170" s="27" t="str">
        <x:v>US</x:v>
      </x:c>
      <x:c r="F170" s="27" t="str">
        <x:v>WI,MN</x:v>
      </x:c>
      <x:c r="G170" s="27" t="str">
        <x:v>Direct foodservice distributor</x:v>
      </x:c>
      <x:c r="H170" s="27" t="str">
        <x:v>Convenience and foodservice wholesale</x:v>
      </x:c>
      <x:c r="I170" s="27" t="str"/>
      <x:c r="J170" s="27" t="str"/>
      <x:c r="K170" s="27" t="str">
        <x:v>Active</x:v>
      </x:c>
      <x:c r="L170" s="27" t="str"/>
      <x:c r="M170" s="27" t="str">
        <x:v>Review before seed</x:v>
      </x:c>
      <x:c r="N170" s="27" t="str">
        <x:v>https://golbon.com/press/golbon-welcomes-new-member-tri-mart-company/</x:v>
      </x:c>
      <x:c r="O170" s="54" t="n">
        <x:v>46217</x:v>
      </x:c>
    </x:row>
    <x:row r="171">
      <x:c r="A171" s="27" t="str">
        <x:v>unfi</x:v>
      </x:c>
      <x:c r="B171" s="27" t="str">
        <x:v>UNFI</x:v>
      </x:c>
      <x:c r="C171" s="27" t="str"/>
      <x:c r="D171" s="27" t="str">
        <x:v>unfi.com</x:v>
      </x:c>
      <x:c r="E171" s="27" t="str">
        <x:v>US</x:v>
      </x:c>
      <x:c r="F171" s="27"/>
      <x:c r="G171" s="27" t="str">
        <x:v>Direct foodservice distributor</x:v>
      </x:c>
      <x:c r="H171" s="27" t="str">
        <x:v>Natural / grocery distribution</x:v>
      </x:c>
      <x:c r="I171" s="27" t="str"/>
      <x:c r="J171" s="27"/>
      <x:c r="K171" s="27" t="str">
        <x:v>Active</x:v>
      </x:c>
      <x:c r="L171" s="27" t="str"/>
      <x:c r="M171" s="27" t="str">
        <x:v>Approved seed</x:v>
      </x:c>
      <x:c r="N171" s="27" t="str">
        <x:v>https://www.unfi.com</x:v>
      </x:c>
      <x:c r="O171" s="54" t="n">
        <x:v>46217</x:v>
      </x:c>
    </x:row>
    <x:row r="172">
      <x:c r="A172" s="27" t="str">
        <x:v>unipro_foodservice_inc</x:v>
      </x:c>
      <x:c r="B172" s="27" t="str">
        <x:v>UniPro Foodservice, Inc.</x:v>
      </x:c>
      <x:c r="C172" s="27" t="str"/>
      <x:c r="D172" s="27" t="str">
        <x:v>uniprofoodservice.com</x:v>
      </x:c>
      <x:c r="E172" s="27" t="str">
        <x:v>US</x:v>
      </x:c>
      <x:c r="F172" s="27"/>
      <x:c r="G172" s="27" t="str">
        <x:v>Distributor network / cooperative</x:v>
      </x:c>
      <x:c r="H172" s="27" t="str">
        <x:v>Distributor cooperative</x:v>
      </x:c>
      <x:c r="I172" s="27" t="str"/>
      <x:c r="J172" s="27"/>
      <x:c r="K172" s="27" t="str">
        <x:v>Active</x:v>
      </x:c>
      <x:c r="L172" s="27" t="str"/>
      <x:c r="M172" s="27" t="str">
        <x:v>Reference only</x:v>
      </x:c>
      <x:c r="N172" s="27" t="str">
        <x:v>https://ifdaonline.org/distributor-members/</x:v>
      </x:c>
      <x:c r="O172" s="54" t="n">
        <x:v>46217</x:v>
      </x:c>
    </x:row>
    <x:row r="173">
      <x:c r="A173" s="27" t="str">
        <x:v>upper_lakes_foods_inc</x:v>
      </x:c>
      <x:c r="B173" s="27" t="str">
        <x:v>Upper Lakes Foods Inc.</x:v>
      </x:c>
      <x:c r="C173" s="27" t="str"/>
      <x:c r="D173" s="27" t="str">
        <x:v>upperlakesfoods.com</x:v>
      </x:c>
      <x:c r="E173" s="27" t="str">
        <x:v>US</x:v>
      </x:c>
      <x:c r="F173" s="27" t="str">
        <x:v>MN,WI,ND,SD,IA,IL,MI</x:v>
      </x:c>
      <x:c r="G173" s="27" t="str">
        <x:v>Direct foodservice distributor</x:v>
      </x:c>
      <x:c r="H173" s="27" t="str">
        <x:v>Broadline</x:v>
      </x:c>
      <x:c r="I173" s="27" t="str">
        <x:v>megabite</x:v>
      </x:c>
      <x:c r="J173" s="27" t="str">
        <x:v>https://ulfweb.com/</x:v>
      </x:c>
      <x:c r="K173" s="27" t="str">
        <x:v>Active</x:v>
      </x:c>
      <x:c r="L173" s="27" t="str"/>
      <x:c r="M173" s="27" t="str">
        <x:v>Approved seed</x:v>
      </x:c>
      <x:c r="N173" s="27" t="str">
        <x:v>https://upperlakesfoods.com/order/</x:v>
      </x:c>
      <x:c r="O173" s="54" t="n">
        <x:v>46217</x:v>
      </x:c>
    </x:row>
    <x:row r="174">
      <x:c r="A174" s="27" t="str">
        <x:v>us_foods</x:v>
      </x:c>
      <x:c r="B174" s="27" t="str">
        <x:v>US Foods</x:v>
      </x:c>
      <x:c r="C174" s="27" t="str">
        <x:v>USF | U.S. Foods</x:v>
      </x:c>
      <x:c r="D174" s="27" t="str">
        <x:v>usfoods.com</x:v>
      </x:c>
      <x:c r="E174" s="27" t="str">
        <x:v>US</x:v>
      </x:c>
      <x:c r="F174" s="27"/>
      <x:c r="G174" s="27" t="str">
        <x:v>Direct foodservice distributor</x:v>
      </x:c>
      <x:c r="H174" s="27" t="str">
        <x:v>National broadline</x:v>
      </x:c>
      <x:c r="I174" s="27" t="str">
        <x:v>us_foods_moxe</x:v>
      </x:c>
      <x:c r="J174" s="27" t="str">
        <x:v>https://www.usfoods.com/how-we-help-you/easy-ordering</x:v>
      </x:c>
      <x:c r="K174" s="27" t="str">
        <x:v>Active</x:v>
      </x:c>
      <x:c r="L174" s="27" t="str"/>
      <x:c r="M174" s="27" t="str">
        <x:v>Approved seed</x:v>
      </x:c>
      <x:c r="N174" s="27" t="str">
        <x:v>https://www.usfoods.com/how-we-help-you/easy-ordering</x:v>
      </x:c>
      <x:c r="O174" s="54" t="n">
        <x:v>46217</x:v>
      </x:c>
    </x:row>
    <x:row r="175">
      <x:c r="A175" s="27" t="str">
        <x:v>van_eerden_foodservice</x:v>
      </x:c>
      <x:c r="B175" s="27" t="str">
        <x:v>Van Eerden Foodservice</x:v>
      </x:c>
      <x:c r="C175" s="27" t="str"/>
      <x:c r="D175" s="27" t="str">
        <x:v>vaneerden.com</x:v>
      </x:c>
      <x:c r="E175" s="27" t="str">
        <x:v>US</x:v>
      </x:c>
      <x:c r="F175" s="27" t="str">
        <x:v>MI,IN</x:v>
      </x:c>
      <x:c r="G175" s="27" t="str">
        <x:v>Direct foodservice distributor</x:v>
      </x:c>
      <x:c r="H175" s="27" t="str">
        <x:v>Broadline</x:v>
      </x:c>
      <x:c r="I175" s="27" t="str">
        <x:v>van_eerden_portal</x:v>
      </x:c>
      <x:c r="J175" s="27" t="str">
        <x:v>https://customer.vaneerden.com/</x:v>
      </x:c>
      <x:c r="K175" s="27" t="str">
        <x:v>Active</x:v>
      </x:c>
      <x:c r="L175" s="27" t="str"/>
      <x:c r="M175" s="27" t="str">
        <x:v>Approved seed</x:v>
      </x:c>
      <x:c r="N175" s="27" t="str">
        <x:v>https://www.vaneerden.com/fresh-solutions/</x:v>
      </x:c>
      <x:c r="O175" s="54" t="n">
        <x:v>46217</x:v>
      </x:c>
    </x:row>
    <x:row r="176">
      <x:c r="A176" s="27" t="str">
        <x:v>vip_foodservice</x:v>
      </x:c>
      <x:c r="B176" s="27" t="str">
        <x:v>VIP Foodservice</x:v>
      </x:c>
      <x:c r="C176" s="27" t="str"/>
      <x:c r="D176" s="27" t="str">
        <x:v>vipfoodservice.com</x:v>
      </x:c>
      <x:c r="E176" s="27" t="str">
        <x:v>US</x:v>
      </x:c>
      <x:c r="F176" s="27" t="str">
        <x:v>CA,NV,AZ</x:v>
      </x:c>
      <x:c r="G176" s="27" t="str">
        <x:v>Direct foodservice distributor</x:v>
      </x:c>
      <x:c r="H176" s="27" t="str">
        <x:v>Broadline</x:v>
      </x:c>
      <x:c r="I176" s="27" t="str"/>
      <x:c r="J176" s="27"/>
      <x:c r="K176" s="27" t="str">
        <x:v>Active</x:v>
      </x:c>
      <x:c r="L176" s="27" t="str"/>
      <x:c r="M176" s="27" t="str">
        <x:v>Review before seed</x:v>
      </x:c>
      <x:c r="N176" s="27" t="str">
        <x:v>https://ifdaonline.org/distributor-members/</x:v>
      </x:c>
      <x:c r="O176" s="54" t="n">
        <x:v>46217</x:v>
      </x:c>
    </x:row>
    <x:row r="177">
      <x:c r="A177" s="27" t="str">
        <x:v>vistar</x:v>
      </x:c>
      <x:c r="B177" s="27" t="str">
        <x:v>Vistar</x:v>
      </x:c>
      <x:c r="C177" s="27" t="str"/>
      <x:c r="D177" s="27" t="str">
        <x:v>vistar.com</x:v>
      </x:c>
      <x:c r="E177" s="27" t="str">
        <x:v>US</x:v>
      </x:c>
      <x:c r="F177" s="27"/>
      <x:c r="G177" s="27" t="str">
        <x:v>Direct foodservice distributor</x:v>
      </x:c>
      <x:c r="H177" s="27" t="str">
        <x:v>Vending / concessions / PFG</x:v>
      </x:c>
      <x:c r="I177" s="27" t="str"/>
      <x:c r="J177" s="27"/>
      <x:c r="K177" s="27" t="str">
        <x:v>Active subsidiary / operating brand</x:v>
      </x:c>
      <x:c r="L177" s="27" t="str">
        <x:v>Performance Food Group</x:v>
      </x:c>
      <x:c r="M177" s="27" t="str">
        <x:v>Approved seed</x:v>
      </x:c>
      <x:c r="N177" s="27" t="str">
        <x:v>https://www.vistar.com</x:v>
      </x:c>
      <x:c r="O177" s="54" t="n">
        <x:v>46217</x:v>
      </x:c>
    </x:row>
    <x:row r="178">
      <x:c r="A178" s="27" t="str">
        <x:v>vitco_distributors_inc</x:v>
      </x:c>
      <x:c r="B178" s="27" t="str">
        <x:v>Vitco Distributors, Inc.</x:v>
      </x:c>
      <x:c r="C178" s="27" t="str"/>
      <x:c r="D178" s="27" t="str">
        <x:v>vitcofoods.com</x:v>
      </x:c>
      <x:c r="E178" s="27" t="str">
        <x:v>US</x:v>
      </x:c>
      <x:c r="F178" s="27" t="str">
        <x:v>CA,NV,AZ</x:v>
      </x:c>
      <x:c r="G178" s="27" t="str">
        <x:v>Direct foodservice distributor</x:v>
      </x:c>
      <x:c r="H178" s="27" t="str">
        <x:v>Broadline</x:v>
      </x:c>
      <x:c r="I178" s="27" t="str"/>
      <x:c r="J178" s="27"/>
      <x:c r="K178" s="27" t="str">
        <x:v>Active</x:v>
      </x:c>
      <x:c r="L178" s="27" t="str"/>
      <x:c r="M178" s="27" t="str">
        <x:v>Review before seed</x:v>
      </x:c>
      <x:c r="N178" s="27" t="str">
        <x:v>https://ifdaonline.org/distributor-members/</x:v>
      </x:c>
      <x:c r="O178" s="54" t="n">
        <x:v>46217</x:v>
      </x:c>
    </x:row>
    <x:row r="179">
      <x:c r="A179" s="27" t="str">
        <x:v>wabash_foodservice</x:v>
      </x:c>
      <x:c r="B179" s="27" t="str">
        <x:v>Wabash Foodservice</x:v>
      </x:c>
      <x:c r="C179" s="27" t="str"/>
      <x:c r="D179" s="27" t="str">
        <x:v>wabashfoodservice.com</x:v>
      </x:c>
      <x:c r="E179" s="27" t="str">
        <x:v>US</x:v>
      </x:c>
      <x:c r="F179" s="27" t="str">
        <x:v>IL,IN,KY,TN,MO</x:v>
      </x:c>
      <x:c r="G179" s="27" t="str">
        <x:v>Direct foodservice distributor</x:v>
      </x:c>
      <x:c r="H179" s="27" t="str">
        <x:v>Broadline</x:v>
      </x:c>
      <x:c r="I179" s="27" t="str"/>
      <x:c r="J179" s="27"/>
      <x:c r="K179" s="27" t="str">
        <x:v>Active</x:v>
      </x:c>
      <x:c r="L179" s="27" t="str"/>
      <x:c r="M179" s="27" t="str">
        <x:v>Review before seed</x:v>
      </x:c>
      <x:c r="N179" s="27" t="str">
        <x:v>https://ifdaonline.org/distributor-members/</x:v>
      </x:c>
      <x:c r="O179" s="54" t="n">
        <x:v>46217</x:v>
      </x:c>
    </x:row>
    <x:row r="180">
      <x:c r="A180" s="27" t="str">
        <x:v>warwick_poultry</x:v>
      </x:c>
      <x:c r="B180" s="27" t="str">
        <x:v>Warwick Poultry</x:v>
      </x:c>
      <x:c r="C180" s="27" t="str"/>
      <x:c r="D180" s="27" t="str"/>
      <x:c r="E180" s="27" t="str">
        <x:v>US</x:v>
      </x:c>
      <x:c r="F180" s="27" t="str">
        <x:v>ME,NH,VT,MA,RI,CT</x:v>
      </x:c>
      <x:c r="G180" s="27" t="str">
        <x:v>Direct foodservice distributor</x:v>
      </x:c>
      <x:c r="H180" s="27" t="str">
        <x:v>Poultry / center-of-plate</x:v>
      </x:c>
      <x:c r="I180" s="27" t="str"/>
      <x:c r="J180" s="27" t="str"/>
      <x:c r="K180" s="27" t="str">
        <x:v>Active</x:v>
      </x:c>
      <x:c r="L180" s="27" t="str">
        <x:v>Reds Farm LLC / Génere family of businesses</x:v>
      </x:c>
      <x:c r="M180" s="27" t="str">
        <x:v>Approved seed</x:v>
      </x:c>
      <x:c r="N180" s="27" t="str">
        <x:v>https://golbon.com/press/golbon-welcomes-new-member-warwick-poultry/</x:v>
      </x:c>
      <x:c r="O180" s="54" t="n">
        <x:v>46217</x:v>
      </x:c>
    </x:row>
    <x:row r="181">
      <x:c r="A181" s="27" t="str">
        <x:v>web_food_store</x:v>
      </x:c>
      <x:c r="B181" s="27" t="str">
        <x:v>Web Food Store</x:v>
      </x:c>
      <x:c r="C181" s="27" t="str">
        <x:v>WebFoodStore.com | WFS</x:v>
      </x:c>
      <x:c r="D181" s="27" t="str">
        <x:v>webfoodstore.com</x:v>
      </x:c>
      <x:c r="E181" s="27" t="str">
        <x:v>US</x:v>
      </x:c>
      <x:c r="F181" s="27" t="str"/>
      <x:c r="G181" s="27" t="str">
        <x:v>Online / e-commerce purveyor</x:v>
      </x:c>
      <x:c r="H181" s="27" t="str">
        <x:v>Online foodservice distributor</x:v>
      </x:c>
      <x:c r="I181" s="27" t="str">
        <x:v>public_ecommerce</x:v>
      </x:c>
      <x:c r="J181" s="27" t="str">
        <x:v>https://webfoodstore.com/</x:v>
      </x:c>
      <x:c r="K181" s="27" t="str">
        <x:v>Active</x:v>
      </x:c>
      <x:c r="L181" s="27" t="str"/>
      <x:c r="M181" s="27" t="str">
        <x:v>Approved seed</x:v>
      </x:c>
      <x:c r="N181" s="27" t="str">
        <x:v>https://golbon.com/press/golbon-welcomes-new-member-web-food-store/</x:v>
      </x:c>
      <x:c r="O181" s="54" t="n">
        <x:v>46217</x:v>
      </x:c>
    </x:row>
    <x:row r="182">
      <x:c r="A182" s="27" t="str">
        <x:v>webstaurantstore</x:v>
      </x:c>
      <x:c r="B182" s="27" t="str">
        <x:v>WebstaurantStore</x:v>
      </x:c>
      <x:c r="C182" s="27" t="str"/>
      <x:c r="D182" s="27" t="str">
        <x:v>webstaurantstore.com</x:v>
      </x:c>
      <x:c r="E182" s="27" t="str">
        <x:v>US</x:v>
      </x:c>
      <x:c r="F182" s="27"/>
      <x:c r="G182" s="27" t="str">
        <x:v>Online / e-commerce purveyor</x:v>
      </x:c>
      <x:c r="H182" s="27" t="str">
        <x:v>Online restaurant supply / food</x:v>
      </x:c>
      <x:c r="I182" s="27" t="str">
        <x:v>public_ecommerce</x:v>
      </x:c>
      <x:c r="J182" s="27" t="str">
        <x:v>https://www.webstaurantstore.com/</x:v>
      </x:c>
      <x:c r="K182" s="27" t="str">
        <x:v>Active</x:v>
      </x:c>
      <x:c r="L182" s="27" t="str"/>
      <x:c r="M182" s="27" t="str">
        <x:v>Approved seed</x:v>
      </x:c>
      <x:c r="N182" s="27" t="str">
        <x:v>https://www.webstaurantstore.com/</x:v>
      </x:c>
      <x:c r="O182" s="54" t="n">
        <x:v>46217</x:v>
      </x:c>
    </x:row>
    <x:row r="183">
      <x:c r="A183" s="27" t="str">
        <x:v>what_chefs_want</x:v>
      </x:c>
      <x:c r="B183" s="27" t="str">
        <x:v>What Chefs Want</x:v>
      </x:c>
      <x:c r="C183" s="27" t="str">
        <x:v>WCW</x:v>
      </x:c>
      <x:c r="D183" s="27" t="str">
        <x:v>whatchefswant.com</x:v>
      </x:c>
      <x:c r="E183" s="27" t="str">
        <x:v>US</x:v>
      </x:c>
      <x:c r="F183" s="27" t="str">
        <x:v>AL,CO,FL,GA,IL,IN,KY,MO,NC,SC,OH,TN</x:v>
      </x:c>
      <x:c r="G183" s="27" t="str">
        <x:v>Direct foodservice distributor</x:v>
      </x:c>
      <x:c r="H183" s="27" t="str">
        <x:v>Produce / specialty broadline</x:v>
      </x:c>
      <x:c r="I183" s="27" t="str">
        <x:v>cut_and_dry</x:v>
      </x:c>
      <x:c r="J183" s="27" t="str">
        <x:v>https://whatchefswant.cutanddry.com/</x:v>
      </x:c>
      <x:c r="K183" s="27" t="str">
        <x:v>Active</x:v>
      </x:c>
      <x:c r="L183" s="27" t="str"/>
      <x:c r="M183" s="27" t="str">
        <x:v>Approved seed</x:v>
      </x:c>
      <x:c r="N183" s="27" t="str">
        <x:v>https://www.whatchefswant.com/customer-login/</x:v>
      </x:c>
      <x:c r="O183" s="54" t="n">
        <x:v>46217</x:v>
      </x:c>
    </x:row>
    <x:row r="184">
      <x:c r="A184" s="27" t="str">
        <x:v>wood_fruitticher_food_service</x:v>
      </x:c>
      <x:c r="B184" s="27" t="str">
        <x:v>Wood Fruitticher Food Service</x:v>
      </x:c>
      <x:c r="C184" s="27" t="str"/>
      <x:c r="D184" s="27" t="str">
        <x:v>woodfruitticher.com</x:v>
      </x:c>
      <x:c r="E184" s="27" t="str">
        <x:v>US</x:v>
      </x:c>
      <x:c r="F184" s="27" t="str">
        <x:v>AL,GA,FL,MS,TN</x:v>
      </x:c>
      <x:c r="G184" s="27" t="str">
        <x:v>Direct foodservice distributor</x:v>
      </x:c>
      <x:c r="H184" s="27" t="str">
        <x:v>Broadline</x:v>
      </x:c>
      <x:c r="I184" s="27" t="str">
        <x:v>food_order_entry</x:v>
      </x:c>
      <x:c r="J184" s="27" t="str">
        <x:v>https://woodfruitticher.foodorderentry.com/?FromMobile=1</x:v>
      </x:c>
      <x:c r="K184" s="27" t="str">
        <x:v>Active</x:v>
      </x:c>
      <x:c r="L184" s="27" t="str"/>
      <x:c r="M184" s="27" t="str">
        <x:v>Approved seed</x:v>
      </x:c>
      <x:c r="N184" s="27" t="str">
        <x:v>https://www.woodfruitticher.com/resources/online-ordering/</x:v>
      </x:c>
      <x:c r="O184" s="54" t="n">
        <x:v>46217</x:v>
      </x:c>
    </x:row>
    <x:row r="185">
      <x:c r="A185" s="27" t="str">
        <x:v>y_hata_and_co_ltd</x:v>
      </x:c>
      <x:c r="B185" s="27" t="str">
        <x:v>Y. Hata &amp; Co., Ltd.</x:v>
      </x:c>
      <x:c r="C185" s="27" t="str"/>
      <x:c r="D185" s="27" t="str">
        <x:v>yhata.com</x:v>
      </x:c>
      <x:c r="E185" s="27" t="str">
        <x:v>US</x:v>
      </x:c>
      <x:c r="F185" s="27" t="str">
        <x:v>HI</x:v>
      </x:c>
      <x:c r="G185" s="27" t="str">
        <x:v>Direct foodservice distributor</x:v>
      </x:c>
      <x:c r="H185" s="27" t="str">
        <x:v>Broadline / Hawaii</x:v>
      </x:c>
      <x:c r="I185" s="27" t="str"/>
      <x:c r="J185" s="27"/>
      <x:c r="K185" s="27" t="str">
        <x:v>Active</x:v>
      </x:c>
      <x:c r="L185" s="27" t="str"/>
      <x:c r="M185" s="27" t="str">
        <x:v>Approved seed</x:v>
      </x:c>
      <x:c r="N185" s="27" t="str">
        <x:v>https://ifdaonline.org/distributor-members/</x:v>
      </x:c>
      <x:c r="O185" s="54" t="n">
        <x:v>46217</x:v>
      </x:c>
    </x:row>
    <x:row r="186">
      <x:c r="A186" s="27" t="str">
        <x:v>yen_bros_food_service</x:v>
      </x:c>
      <x:c r="B186" s="27" t="str">
        <x:v>Yen Bros. Food Service</x:v>
      </x:c>
      <x:c r="C186" s="27" t="str"/>
      <x:c r="D186" s="27" t="str">
        <x:v>yenbros.com</x:v>
      </x:c>
      <x:c r="E186" s="27" t="str">
        <x:v>US</x:v>
      </x:c>
      <x:c r="F186" s="27" t="str">
        <x:v>WA,OR</x:v>
      </x:c>
      <x:c r="G186" s="27" t="str">
        <x:v>Direct foodservice distributor</x:v>
      </x:c>
      <x:c r="H186" s="27" t="str">
        <x:v>Asian / broadline</x:v>
      </x:c>
      <x:c r="I186" s="27" t="str"/>
      <x:c r="J186" s="27"/>
      <x:c r="K186" s="27" t="str">
        <x:v>Active</x:v>
      </x:c>
      <x:c r="L186" s="27" t="str"/>
      <x:c r="M186" s="27" t="str">
        <x:v>Approved seed</x:v>
      </x:c>
      <x:c r="N186" s="27" t="str">
        <x:v>https://ifdaonline.org/distributor-members/</x:v>
      </x:c>
      <x:c r="O186" s="54" t="n">
        <x:v>46217</x:v>
      </x:c>
    </x:row>
    <x:row r="187">
      <x:c r="A187" s="27" t="str">
        <x:v>la_reserve</x:v>
      </x:c>
      <x:c r="B187" s="27" t="str">
        <x:v>La Reserve</x:v>
      </x:c>
      <x:c r="C187" s="27" t="str"/>
      <x:c r="D187" s="27" t="str"/>
      <x:c r="E187" s="27" t="str"/>
      <x:c r="F187" s="27" t="str"/>
      <x:c r="G187" s="27" t="str">
        <x:v>Direct foodservice distributor</x:v>
      </x:c>
      <x:c r="H187" s="27" t="str">
        <x:v>Specialty foodservice</x:v>
      </x:c>
      <x:c r="I187" s="27" t="str"/>
      <x:c r="J187" s="27" t="str"/>
      <x:c r="K187" s="27" t="str">
        <x:v>Active</x:v>
      </x:c>
      <x:c r="L187" s="27" t="str"/>
      <x:c r="M187" s="27" t="str">
        <x:v>Review before seed</x:v>
      </x:c>
      <x:c r="N187" s="27" t="str">
        <x:v>https://ifdaonline.org/distributor-members/</x:v>
      </x:c>
      <x:c r="O187" s="54" t="n">
        <x:v>46217</x:v>
      </x:c>
    </x:row>
  </x:sheetData>
  <x:pageMargins left="0.7" right="0.7" top="0.75" bottom="0.75" header="0.3" footer="0.3"/>
  <x:tableParts count="1">
    <x:tablePart xmlns:r="http://schemas.openxmlformats.org/officeDocument/2006/relationships" r:id="Rca142690ed2c4a8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00" hidden="0" customWidth="1"/>
  </x:cols>
  <x:sheetData>
    <x:row r="1">
      <x:c r="A1" s="30" t="str">
        <x:v>Version</x:v>
      </x:c>
      <x:c r="B1" s="31" t="str">
        <x:v>2.0</x:v>
      </x:c>
    </x:row>
    <x:row r="2">
      <x:c r="A2" s="32" t="str">
        <x:v>Research cutoff</x:v>
      </x:c>
      <x:c r="B2" s="33" t="str">
        <x:v>2026-07-14</x:v>
      </x:c>
    </x:row>
    <x:row r="3">
      <x:c r="A3" s="32" t="str">
        <x:v>Previous registry entries</x:v>
      </x:c>
      <x:c r="B3" s="33" t="n">
        <x:v>141</x:v>
      </x:c>
    </x:row>
    <x:row r="4">
      <x:c r="A4" s="32" t="str">
        <x:v>Vendor Master v2 entries</x:v>
      </x:c>
      <x:c r="B4" s="33" t="n">
        <x:v>186</x:v>
      </x:c>
    </x:row>
    <x:row r="5">
      <x:c r="A5" s="32" t="str">
        <x:v>Net new records</x:v>
      </x:c>
      <x:c r="B5" s="33" t="n">
        <x:v>45</x:v>
      </x:c>
    </x:row>
    <x:row r="6">
      <x:c r="A6" s="32" t="str">
        <x:v>Existing records materially updated</x:v>
      </x:c>
      <x:c r="B6" s="33" t="n">
        <x:v>0</x:v>
      </x:c>
    </x:row>
    <x:row r="7">
      <x:c r="A7" s="32" t="str">
        <x:v>Countries / territories represented</x:v>
      </x:c>
      <x:c r="B7" s="33" t="n">
        <x:v>7</x:v>
      </x:c>
    </x:row>
    <x:row r="8">
      <x:c r="A8" s="32" t="str">
        <x:v>Approved seed records</x:v>
      </x:c>
      <x:c r="B8" s="33" t="n">
        <x:v>102</x:v>
      </x:c>
    </x:row>
    <x:row r="9">
      <x:c r="A9" s="32" t="str">
        <x:v>Review-before-seed records</x:v>
      </x:c>
      <x:c r="B9" s="33" t="n">
        <x:v>65</x:v>
      </x:c>
    </x:row>
    <x:row r="10">
      <x:c r="A10" s="32" t="str">
        <x:v>Reference-only records</x:v>
      </x:c>
      <x:c r="B10" s="33" t="n">
        <x:v>19</x:v>
      </x:c>
    </x:row>
    <x:row r="11">
      <x:c r="A11" s="32" t="str">
        <x:v>Records with a connector key</x:v>
      </x:c>
      <x:c r="B11" s="33" t="n">
        <x:v>27</x:v>
      </x:c>
    </x:row>
    <x:row r="12">
      <x:c r="A12" s="32" t="str">
        <x:v>Primary refresh sources</x:v>
      </x:c>
      <x:c r="B12" s="33" t="str">
        <x:v>IFDA 2026 distributor roster; Golbon 2024–2026 press releases; Frosty Acres 2025–2026 member announcements; official vendor sites.</x:v>
      </x:c>
    </x:row>
    <x:row r="13">
      <x:c r="A13" s="32" t="str">
        <x:v>Critical transaction update</x:v>
      </x:c>
      <x:c r="B13" s="33" t="str">
        <x:v>Cheney Brothers is now a Performance Food Group subsidiary. Sysco's Jetro/Restaurant Depot transaction is announced but not closed.</x:v>
      </x:c>
    </x:row>
    <x:row r="14">
      <x:c r="A14" s="34" t="str">
        <x:v>Recommended ingestion rule</x:v>
      </x:c>
      <x:c r="B14" s="35" t="str">
        <x:v>Load Approved seed automatically; queue Review before seed for global_admin verification; keep Reference only records available for network intelligence but not normal customer vendor selection.</x:v>
      </x:c>
    </x:row>
  </x:sheetData>
  <x:pageMargins left="0.7" right="0.7" top="0.75" bottom="0.75" header="0.3" footer="0.3"/>
</x:worksheet>
</file>